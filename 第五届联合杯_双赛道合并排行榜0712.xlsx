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并排行榜" sheetId="1" r:id="rId3"/>
    <sheet name="东风赛道" sheetId="2" r:id="rId4"/>
    <sheet name="半庄赛道" sheetId="3" r:id="rId5"/>
    <sheet name="使用说明" sheetId="4" r:id="rId6"/>
  </sheets>
  <calcPr calcId="191029"/>
</workbook>
</file>

<file path=xl/sharedStrings.xml><?xml version="1.0" encoding="utf-8"?>
<sst xmlns="http://schemas.openxmlformats.org/spreadsheetml/2006/main" count="384" uniqueCount="384">
  <si>
    <t/>
  </si>
  <si>
    <t>第五届联合杯立直麻将高校赛｜双赛道合并排行榜</t>
  </si>
  <si>
    <t>数据快照：2026-07-12T07:57:25.747Z（UTC）｜两个赛道各 64 所学校，按网站学校名称精确合并</t>
  </si>
  <si>
    <t>参赛学校</t>
  </si>
  <si>
    <t>东风最高分</t>
  </si>
  <si>
    <t>半庄最高分</t>
  </si>
  <si>
    <t>当前第一</t>
  </si>
  <si>
    <t>北京大学</t>
  </si>
  <si>
    <t>“扣分”栏输入正数即可自动更新扣分后总分和当前名次；行顺序不会自动移动，可用表头筛选箭头按“当前名次”升序排序。</t>
  </si>
  <si>
    <t>当前名次</t>
  </si>
  <si>
    <t>学校</t>
  </si>
  <si>
    <t>东风名次</t>
  </si>
  <si>
    <t>东风分数</t>
  </si>
  <si>
    <t>半庄名次</t>
  </si>
  <si>
    <t>半庄分数</t>
  </si>
  <si>
    <t>原始总分</t>
  </si>
  <si>
    <t>扣分</t>
  </si>
  <si>
    <t>扣分后总分</t>
  </si>
  <si>
    <t>上海大学</t>
  </si>
  <si>
    <t>北京邮电大学</t>
  </si>
  <si>
    <t>北京航空航天大</t>
  </si>
  <si>
    <t>四川大学</t>
  </si>
  <si>
    <t>中国农业大学</t>
  </si>
  <si>
    <t>安徽农业大学</t>
  </si>
  <si>
    <t>清华大学</t>
  </si>
  <si>
    <t>西安交通大学</t>
  </si>
  <si>
    <t>中山大学</t>
  </si>
  <si>
    <t>复旦大学</t>
  </si>
  <si>
    <t>大连理工大学</t>
  </si>
  <si>
    <t>对外经济贸易大</t>
  </si>
  <si>
    <t>上海电力大学</t>
  </si>
  <si>
    <t>山东财经大学</t>
  </si>
  <si>
    <t>华中科技大学</t>
  </si>
  <si>
    <t>同济大学</t>
  </si>
  <si>
    <t>北京师范大学</t>
  </si>
  <si>
    <t>广州大学</t>
  </si>
  <si>
    <t>西北工业大学</t>
  </si>
  <si>
    <t>西安电子科技大</t>
  </si>
  <si>
    <t>华南理工大学</t>
  </si>
  <si>
    <t>上海工程技术大</t>
  </si>
  <si>
    <t>南宁市第二中学</t>
  </si>
  <si>
    <t>哈尔滨医科大学</t>
  </si>
  <si>
    <t>福建医科大学</t>
  </si>
  <si>
    <t>南开大学</t>
  </si>
  <si>
    <t>中央民族大学</t>
  </si>
  <si>
    <t>华南师范大学</t>
  </si>
  <si>
    <t>郑州大学</t>
  </si>
  <si>
    <t>宁波诺丁汉大学</t>
  </si>
  <si>
    <t>华南农业大学</t>
  </si>
  <si>
    <t>福州大学</t>
  </si>
  <si>
    <t>东南大学</t>
  </si>
  <si>
    <t>中南财经政法大</t>
  </si>
  <si>
    <t>上海第二工业大</t>
  </si>
  <si>
    <t>北京交通大学</t>
  </si>
  <si>
    <t>上海交通大学</t>
  </si>
  <si>
    <t>华东理工大学</t>
  </si>
  <si>
    <t>北京理工大学</t>
  </si>
  <si>
    <t>东北大学</t>
  </si>
  <si>
    <t>河海大学</t>
  </si>
  <si>
    <t>广西大学</t>
  </si>
  <si>
    <t>武汉大学</t>
  </si>
  <si>
    <t>上海建桥学院</t>
  </si>
  <si>
    <t>汕头大学</t>
  </si>
  <si>
    <t>大连外国语大学</t>
  </si>
  <si>
    <t>西北农林科技大</t>
  </si>
  <si>
    <t>中南大学</t>
  </si>
  <si>
    <t>东北农业大学</t>
  </si>
  <si>
    <t>哈尔滨工业大学</t>
  </si>
  <si>
    <t>天津大学</t>
  </si>
  <si>
    <t>江南大学</t>
  </si>
  <si>
    <t>华东师范大学</t>
  </si>
  <si>
    <t>吉林大学</t>
  </si>
  <si>
    <t>上海财经大学</t>
  </si>
  <si>
    <t>南京航空航天大</t>
  </si>
  <si>
    <t>上海师范大学</t>
  </si>
  <si>
    <t>南方科技大学</t>
  </si>
  <si>
    <t>宁波大学</t>
  </si>
  <si>
    <t>东北林业大学</t>
  </si>
  <si>
    <t>太原理工大学</t>
  </si>
  <si>
    <t>南京大学</t>
  </si>
  <si>
    <t>北京信息科技大</t>
  </si>
  <si>
    <t>第五届联合杯立直麻将高校赛｜东风赛道原始排行榜</t>
  </si>
  <si>
    <t>来源：https://s.hieuzest.com/contest/6a51b4c297150099d8c13dd9?tab=ranking</t>
  </si>
  <si>
    <t>抓取时间（UTC）：2026-07-12T07:57:25.747Z｜比赛状态：进行中｜分数与明细合计已核对</t>
  </si>
  <si>
    <t>名次</t>
  </si>
  <si>
    <t>分数</t>
  </si>
  <si>
    <t>额外</t>
  </si>
  <si>
    <t>明细得分</t>
  </si>
  <si>
    <t>选手 / 顺位 / 点数</t>
  </si>
  <si>
    <t>状态</t>
  </si>
  <si>
    <t>来源</t>
  </si>
  <si>
    <t>32.30 | 38.00 | 38.20 | 48.80 | 3.00 | -10.00</t>
  </si>
  <si>
    <t>時之彥士 #1 30300 | 時之彥士 #1 36000 | 時之彥士 #1 36200 | 诈胡战士 #1 46800 | 诈胡战士 #2 25000 | 诈胡战士 #3 24000</t>
  </si>
  <si>
    <t>#11</t>
  </si>
  <si>
    <t>https://s.hieuzest.com/contest/6a51b4c297150099d8c13dd9?tab=ranking</t>
  </si>
  <si>
    <t>6.80 | 33.60 | 48.20 | 10.70 | 2.30 | 9.50</t>
  </si>
  <si>
    <t>我爱淮淮宝贝 #2 28800 | 我爱淮淮宝贝 #1 31600 | 我爱淮淮宝贝 #1 46200 | 我爱淮淮宝贝 #2 32700 | 我爱淮淮宝贝 #2 24300 | 我爱淮淮宝贝 #2 31500</t>
  </si>
  <si>
    <t>#15</t>
  </si>
  <si>
    <t>-9.80 | 32.40 | -13.20 | 34.30 | 32.20 | 28.60</t>
  </si>
  <si>
    <t>圣园の未花 #3 24200 | 圣园の未花 #1 30400 | 圣园の未花 #3 20800 | 双鸭山大学 #1 32300 | 双鸭山大学 #1 30200 | 双鸭山大学 #1 26600</t>
  </si>
  <si>
    <t>#12</t>
  </si>
  <si>
    <t>-44.30 | 44.70 | 38.40 | 44.90 | -30.80 | 51.50</t>
  </si>
  <si>
    <t>LawO今天不上班 #4 1700 | LawO今天不上班 #1 42700 | LawO今天不上班 #1 36400 | 梦欣雅 #1 42900 | 梦欣雅 #4 15200 | 梦欣雅 #1 49500</t>
  </si>
  <si>
    <t>#6</t>
  </si>
  <si>
    <t>10.70 | 6.50 | 38.00 | -2.10 | 37.30 | 2.50</t>
  </si>
  <si>
    <t>开点啊 #2 32700 | 开点啊 #2 28500 | 开点啊 #1 36000 | wen141 #2 19900 | wen141 #1 35300 | wen141 #2 24500</t>
  </si>
  <si>
    <t>10.50 | 4.00 | 40.70 | -17.40 | 10.00 | 38.10</t>
  </si>
  <si>
    <t>炸洋芋sakaimo #2 32500 | 炸洋芋sakaimo #2 26000 | 炸洋芋sakaimo #1 38700 | 紫菜麻酱杏杏 #3 16600 | 紫菜麻酱杏杏 #2 32000 | 紫菜麻酱杏杏 #1 36100</t>
  </si>
  <si>
    <t>#1</t>
  </si>
  <si>
    <t>39.50 | 7.90 | -14.00 | 34.10 | 5.10 | 12.60</t>
  </si>
  <si>
    <t>立直一发自摸狗 #1 37500 | 立直一发自摸狗 #2 29900 | 立直一发自摸狗 #3 20000 | 立直一发自摸狗 #1 32100 | 立直一发自摸狗 #2 27100 | 立直一发自摸狗 #2 34600</t>
  </si>
  <si>
    <t>#13</t>
  </si>
  <si>
    <t>40.60 | 8.90 | -11.00 | 40.50 | 1.20 | 3.00</t>
  </si>
  <si>
    <t>だんごかぞく #1 38600 | だんごかぞく #2 30900 | だんごかぞく #3 23000 | 雨滴鸽 #1 38500 | 雨滴鸽 #2 23200 | 雨滴鸽 #2 25000</t>
  </si>
  <si>
    <t>#9</t>
  </si>
  <si>
    <t>40.10 | 44.80 | -13.20 | 2.00 | 34.00 | -35.40</t>
  </si>
  <si>
    <t>浮香墨染 #1 38100 | 浮香墨染 #1 42800 | 浮香墨染 #3 20800 | lilian111 #2 24000 | lilian111 #1 32000 | lilian111 #4 10600</t>
  </si>
  <si>
    <t>#14</t>
  </si>
  <si>
    <t>-13.60 | 4.30 | 48.90 | 37.90 | -8.70 | 2.30</t>
  </si>
  <si>
    <t>laidoull #3 20400 | laidoull #2 26300 | laidoull #1 46900 | laidoull #1 35900 | laidoull #3 25300 | laidoull #2 24300</t>
  </si>
  <si>
    <t>39.30 | 47.80 | 30.10 | -26.40 | -27.70 | 4.40</t>
  </si>
  <si>
    <t>灬狗蛋灬 #1 37300 | 灬狗蛋灬 #1 45800 | 灬狗蛋灬 #1 28100 | Rakaseira #4 19600 | Rakaseira #4 18300 | Rakaseira #2 26400</t>
  </si>
  <si>
    <t>9.20 | 35.80 | 33.00 | -10.80 | 5.40 | -8.10</t>
  </si>
  <si>
    <t>夕之哉 #2 31200 | 夕之哉 #1 33800 | 夕之哉 #1 31000 | 夕之哉 #3 23200 | 夕之哉 #2 27400 | 夕之哉 #3 25900</t>
  </si>
  <si>
    <t>8.20 | -29.80 | 44.50 | 52.00 | -11.50 | 0.90</t>
  </si>
  <si>
    <t>陽见惠凪 #2 30200 | 陽见惠凪 #4 16200 | 陽见惠凪 #1 42500 | literally #1 50000 | literally #3 22500 | literally #2 22900</t>
  </si>
  <si>
    <t>41.00 | -8.30 | 32.50 | -11.30 | -26.70 | 36.90</t>
  </si>
  <si>
    <t>Mr_Willow #1 39000 | Mr_Willow #3 25700 | Mr_Willow #1 30500 | cloudts #3 22700 | cloudts #4 19300 | cloudts #1 34900</t>
  </si>
  <si>
    <t>#8</t>
  </si>
  <si>
    <t>-12.90 | -0.40 | 4.30 | 41.00 | 64.30 | -36.00</t>
  </si>
  <si>
    <t>麻雀IQ147 #3 21100 | 麻雀IQ147 #2 21600 | 麻雀IQ147 #2 26300 | Layla001 #1 39000 | Layla001 #1 62300 | Layla001 #4 10000</t>
  </si>
  <si>
    <t>#2</t>
  </si>
  <si>
    <t>-14.50 | -14.20 | 12.10 | 36.10 | -10.40 | 40.30</t>
  </si>
  <si>
    <t>Viv_viV #3 19500 | Viv_viV #3 19800 | Viv_viV #2 34100 | 萌新JK #1 34100 | 萌新JK #3 23600 | 萌新JK #1 38300</t>
  </si>
  <si>
    <t>#4</t>
  </si>
  <si>
    <t>11.20 | 5.60 | -33.70 | -15.30 | 41.00 | 40.30</t>
  </si>
  <si>
    <t>DoraHyle #2 33200 | DoraHyle #2 27600 | DoraHyle #4 12300 | WA鸭鸭 #3 18700 | WA鸭鸭 #1 39000 | WA鸭鸭 #1 38300</t>
  </si>
  <si>
    <t>50.70 | 1.00 | -32.00 | -0.10 | 39.50 | -12.10</t>
  </si>
  <si>
    <t>269@ #1 48700 | 269@ #2 23000 | 269@ #4 14000 | 269@ #2 21900 | 269@ #1 37500 | 269@ #3 21900</t>
  </si>
  <si>
    <t>10.70 | -37.20 | 33.00 | 2.00 | -33.50 | 66.70</t>
  </si>
  <si>
    <t>呆头羽汽水 #2 32700 | 呆头羽汽水 #4 8800 | 呆头羽汽水 #1 31000 | 小香茶 #2 24000 | 小香茶 #4 12500 | 小香茶 #1 64700</t>
  </si>
  <si>
    <t>#16</t>
  </si>
  <si>
    <t>53.80 | -14.60 | -15.90 | 3.40 | 5.10 | 8.60</t>
  </si>
  <si>
    <t>麦哲伦是呆头羽 #1 51800 | 麦哲伦是呆头羽 #3 19400 | 麦哲伦是呆头羽 #3 18100 | hereuare #2 25400 | hereuare #2 27100 | hereuare #2 30600</t>
  </si>
  <si>
    <t>-29.70 | 42.60 | 5.00 | 10.10 | -12.10 | 12.70</t>
  </si>
  <si>
    <t>燃成灰了~ #4 16300 | 燃成灰了~ #1 40600 | 燃成灰了~ #2 27000 | 川桑打川麻 #2 32100 | 川桑打川麻 #3 21900 | 川桑打川麻 #2 34700</t>
  </si>
  <si>
    <t>6.80 | 39.10 | 9.70 | 2.90 | -9.90 | -24.90</t>
  </si>
  <si>
    <t>喵喵小米辣 #2 28800 | 喵喵小米辣 #1 37100 | 喵喵小米辣 #2 31700 | 喵喵小笨蛋 #2 24900 | 喵喵小笨蛋 #3 24100 | 喵喵小笨蛋 #4 21100</t>
  </si>
  <si>
    <t>-18.80 | 40.70 | 7.10 | 39.20 | -28.30 | -16.90</t>
  </si>
  <si>
    <t>双双幽灵555 #3 15200 | 双双幽灵555 #1 38700 | 双双幽灵555 #2 29100 | 双双幽灵555 #1 37200 | 双双幽灵555 #4 17700 | 双双幽灵555 #3 17100</t>
  </si>
  <si>
    <t>-23.60 | 7.10 | 40.20 | -28.50 | -9.60 | 30.00</t>
  </si>
  <si>
    <t>奥达莉娅 #3 10400 | 奥达莉娅 #2 29100 | 奥达莉娅 #1 38200 | Megumin233 #4 17500 | Megumin233 #3 24400 | Megumin233 #1 28000</t>
  </si>
  <si>
    <t>#5</t>
  </si>
  <si>
    <t>-12.80 | -25.20 | -8.00 | 5.80 | 47.30 | 8.30</t>
  </si>
  <si>
    <t>JZhuoyan #3 21200 | JZhuoyan #4 20800 | JZhuoyan #3 26000 | 呓语凸(&gt;皿&lt;)凸 #2 27800 | 呓语凸(&gt;皿&lt;)凸 #1 45300 | 呓语凸(&gt;皿&lt;)凸 #2 30300</t>
  </si>
  <si>
    <t>#10</t>
  </si>
  <si>
    <t>-17.10 | 12.50 | -28.00 | 36.80 | 33.50 | -22.60</t>
  </si>
  <si>
    <t>小弓 #3 16900 | 小弓 #2 34500 | 小弓 #4 18000 | 小弓 #1 34800 | 小弓 #1 31500 | 小弓 #4 23400</t>
  </si>
  <si>
    <t>-9.30 | 9.50 | -33.50 | 32.50 | -17.70 | 32.90</t>
  </si>
  <si>
    <t>小短腿fwdd #3 24700 | 小短腿fwdd #2 31500 | 小短腿fwdd #4 12500 | 断幺截胡勾 #1 30500 | 断幺截胡勾 #3 16300 | 断幺截胡勾 #1 30900</t>
  </si>
  <si>
    <t>46.00 | -10.50 | -31.20 | 15.20 | -45.20 | 39.80</t>
  </si>
  <si>
    <t>Spire #1 44000 | Spire #3 23500 | Spire #4 14800 | lokimu #2 37200 | lokimu #4 800 | lokimu #1 37800</t>
  </si>
  <si>
    <t>9.10 | -9.80 | 17.50 | -10.90 | 3.90 | 2.60</t>
  </si>
  <si>
    <t>不染轻裳 #2 31100 | 不染轻裳 #3 24200 | 不染轻裳 #2 39500 | 嘚不锝 #3 23100 | 嘚不锝 #2 25900 | 嘚不锝 #2 24600</t>
  </si>
  <si>
    <t>-6.40 | 41.20 | 6.10 | -32.30 | 33.70 | -32.10</t>
  </si>
  <si>
    <t>一只弱酱阿 #3 27600 | 一只弱酱阿 #1 39200 | 一只弱酱阿 #2 28100 | 后碎 #4 13700 | 后碎 #1 31700 | 后碎 #4 13900</t>
  </si>
  <si>
    <t>#7</t>
  </si>
  <si>
    <t>40.70 | 35.40 | 4.40 | -41.00 | 0.40 | -33.30</t>
  </si>
  <si>
    <t>Matrix233233 #1 38700 | Matrix233233 #1 33400 | Matrix233233 #2 26400 | Matrix233233 #4 5000 | Matrix233233 #2 22400 | Matrix233233 #4 12700</t>
  </si>
  <si>
    <t>35.30 | -26.50 | -18.90 | -10.20 | -31.20 | 43.80</t>
  </si>
  <si>
    <t>凛津 #1 33300 | 凛津 #4 19500 | 凛津 #3 15100 | 无戟把之神 #3 23800 | 无戟把之神 #4 14800 | 无戟把之神 #1 41800</t>
  </si>
  <si>
    <t>-7.80 | -13.30 | -11.10 | -13.50 | 30.40 | 6.50</t>
  </si>
  <si>
    <t>藕饼qwq #3 26200 | 藕饼qwq #3 20700 | 藕饼qwq #3 22900 | 安萱雨 #3 20500 | 安萱雨 #1 28400 | 安萱雨 #2 28500</t>
  </si>
  <si>
    <t>#3</t>
  </si>
  <si>
    <t>44.60 | -32.50 | -19.70 | 46.70 | -12.90 | -38.90</t>
  </si>
  <si>
    <t>蓦然哥哥 #1 42600 | 蓦然哥哥 #4 13500 | 蓦然哥哥 #3 14300 | 唯零君 #1 44700 | 唯零君 #3 21100 | 唯零君 #4 7100</t>
  </si>
  <si>
    <t>-14.30 | -16.00 | -7.00 | 46.30 | 4.80 | -26.70</t>
  </si>
  <si>
    <t>晓梦初生 #3 19700 | 晓梦初生 #3 18000 | 晓梦初生 #3 27000 | 一曲紅綃不知數 #1 44300 | 一曲紅綃不知數 #2 26800 | 一曲紅綃不知數 #4 19300</t>
  </si>
  <si>
    <t>-23.80 | -10.50 | 6.80 | -11.50 | -9.60 | 35.00</t>
  </si>
  <si>
    <t>NagatoYukki #4 22200 | NagatoYukki #3 23500 | NagatoYukki #2 28800 | 秋名山坐车神 #3 22500 | 秋名山坐车神 #3 24400 | 秋名山坐车神 #1 33000</t>
  </si>
  <si>
    <t>-17.70 | 41.40 | 44.10 | -34.60 | -15.00 | -32.90</t>
  </si>
  <si>
    <t>HanzawaHana #3 16300 | HanzawaHana #1 39400 | HanzawaHana #1 42100 | HanzawaHana #4 11400 | HanzawaHana #3 19000 | HanzawaHana #4 13100</t>
  </si>
  <si>
    <t>0.00 | -10.80 | 4.90 | -32.30 | -10.40 | 33.60</t>
  </si>
  <si>
    <t>君叹 #2 22000 | 君叹 #3 23200 | 君叹 #2 26900 | StarlightGlint #4 13700 | StarlightGlint #3 23600 | StarlightGlint #1 31600</t>
  </si>
  <si>
    <t>5.90 | -23.10 | 29.50 | -16.00 | 1.80 | -13.90</t>
  </si>
  <si>
    <t>猫孝子附体 #2 27900 | 猫孝子附体 #3 10900 | 猫孝子附体 #1 27500 | 猫孝子附体 #3 18000 | 猫孝子附体 #2 23800 | 猫孝子附体 #2 14100</t>
  </si>
  <si>
    <t>18.20 | 2.50 | -9.20 | -27.50 | 11.70 | -14.40</t>
  </si>
  <si>
    <t>KEVINs #2 40200 | KEVINs #2 24500 | KEVINs #3 24800 | 鸢泽美咲ovo #4 18500 | 鸢泽美咲ovo #2 33700 | 鸢泽美咲ovo #3 19600</t>
  </si>
  <si>
    <t>59.90 | -29.70 | -37.10 | -16.50 | -26.80 | 31.00</t>
  </si>
  <si>
    <t>Tarumi #1 57900 | Tarumi #4 16300 | Tarumi #4 8900 | 爱冰如子 #3 17500 | 爱冰如子 #4 19200 | 爱冰如子 #1 29000</t>
  </si>
  <si>
    <t>9.80 | 4.20 | -26.40 | 11.50 | -12.00 | -9.60</t>
  </si>
  <si>
    <t>ISOxo #2 31800 | ISOxo #2 26200 | ISOxo #4 19600 | 什么又被克制 #2 33500 | 什么又被克制 #3 22000 | 什么又被克制 #3 24400</t>
  </si>
  <si>
    <t>1.20 | -16.90 | 11.20 | -13.50 | 29.80 | -34.60</t>
  </si>
  <si>
    <t>青雀摸鱼麻将 #2 23200 | 青雀摸鱼麻将 #3 17100 | 青雀摸鱼麻将 #2 33200 | 无敌运B大王 #3 20500 | 无敌运B大王 #1 27800 | 无敌运B大王 #4 11400</t>
  </si>
  <si>
    <t>-31.00 | 39.00 | -34.10 | -13.50 | 42.00 | -26.10</t>
  </si>
  <si>
    <t>小吉祥雪王 #4 15000 | 小吉祥雪王 #1 37000 | 小吉祥雪王 #4 11900 | 小吉祥雪王 #3 20500 | 小吉祥雪王 #1 40000 | 小吉祥雪王 #4 19900</t>
  </si>
  <si>
    <t>42.40 | -14.70 | -15.70 | -38.50 | -31.20 | 32.70</t>
  </si>
  <si>
    <t>呆瓜qx #1 40400 | 呆瓜qx #3 19300 | 呆瓜qx #3 18300 | 优衣献北 #4 7500 | 优衣献北 #4 14800 | 优衣献北 #1 30700</t>
  </si>
  <si>
    <t>36.10 | -17.90 | -10.00 | -29.70 | 5.90 | -10.70</t>
  </si>
  <si>
    <t>呃鹅鹅鹅鹅鹅鹅 #1 34100 | 呃鹅鹅鹅鹅鹅鹅 #3 16100 | 呃鹅鹅鹅鹅鹅鹅 #3 24000 | SeQiWolf #4 16300 | SeQiWolf #2 27900 | SeQiWolf #3 23300</t>
  </si>
  <si>
    <t>46.50 | -10.20 | 0.30 | -30.20 | -13.50 | -23.50</t>
  </si>
  <si>
    <t>于是郎和 #1 44500 | 于是郎和 #3 23800 | 于是郎和 #2 22300 | 惊蛰惊了一枝春 #4 15800 | 惊蛰惊了一枝春 #3 20500 | 惊蛰惊了一枝春 #4 22500</t>
  </si>
  <si>
    <t>-44.10 | -27.70 | 40.40 | -36.60 | 38.70 | -21.60</t>
  </si>
  <si>
    <t>Masaki丶 #4 1900 | Masaki丶 #4 18300 | Masaki丶 #1 38400 | 壹发自摸 #4 9400 | 壹发自摸 #1 36700 | 壹发自摸 #3 12400</t>
  </si>
  <si>
    <t>2.80 | -37.00 | -11.90 | -35.10 | 46.50 | -17.40</t>
  </si>
  <si>
    <t>却梦寒 #2 24800 | 却梦寒 #4 9000 | 却梦寒 #3 22100 | kmino #4 10900 | kmino #1 44500 | kmino #3 16600</t>
  </si>
  <si>
    <t>-57.80 | -33.20 | 34.30 | -6.30 | -35.10 | 45.00</t>
  </si>
  <si>
    <t>单推伊达朱里纱 #4 -11800 | 单推伊达朱里纱 #4 12800 | 单推伊达朱里纱 #1 32300 | 缺幺少玖 #3 27700 | 缺幺少玖 #4 10900 | 缺幺少玖 #1 43000</t>
  </si>
  <si>
    <t>-31.50 | 34.20 | -31.20 | -16.10 | -17.30 | 8.20</t>
  </si>
  <si>
    <t>天天吸汐 #4 14500 | 天天吸汐 #1 32200 | 天天吸汐 #4 14800 | 鸽可味 #3 17900 | 鸽可味 #3 16700 | 鸽可味 #2 30200</t>
  </si>
  <si>
    <t>-30.90 | -39.50 | -47.60 | 42.20 | 38.40 | -16.30</t>
  </si>
  <si>
    <t>可ちゃん大好き #4 15100 | 可ちゃん大好き #4 6500 | 可ちゃん大好き #4 -1600 | 普通的小萌新啊 #1 40200 | 普通的小萌新啊 #1 36400 | 普通的小萌新啊 #3 17700</t>
  </si>
  <si>
    <t>-37.80 | 50.90 | -23.90 | 7.30 | -16.50 | -40.20</t>
  </si>
  <si>
    <t>绿色荧光蛋白 #4 8200 | 绿色荧光蛋白 #1 48900 | 绿色荧光蛋白 #4 22100 | gggluggg #2 29300 | gggluggg #3 17500 | gggluggg #4 5800</t>
  </si>
  <si>
    <t>-8.70 | -36.70 | 5.40 | 7.80 | 9.40 | -38.10</t>
  </si>
  <si>
    <t>芯羽S #3 25300 | 芯羽S #4 9300 | 芯羽S #2 27400 | 芯羽S #2 29800 | 芯羽S #2 31400 | 芯羽S #4 7900</t>
  </si>
  <si>
    <t>-34.60 | -0.70 | -29.00 | 7.00 | 2.90 | -13.60</t>
  </si>
  <si>
    <t>Pianythm #4 11400 | Pianythm #2 21300 | Pianythm #4 17000 | 第六感流雀士 #2 29000 | 第六感流雀士 #2 24900 | 第六感流雀士 #3 20400</t>
  </si>
  <si>
    <t>9.60 | -31.10 | 5.90 | -26.00 | -24.50 | -14.30</t>
  </si>
  <si>
    <t>JL博尔赫斯 #2 31600 | JL博尔赫斯 #4 14900 | JL博尔赫斯 #2 27900 | 归未栖 #4 20000 | 归未栖 #4 21500 | 归未栖 #3 19700</t>
  </si>
  <si>
    <t>-37.00 | -31.60 | -34.00 | 36.80 | -27.00 | 10.70</t>
  </si>
  <si>
    <t>顾梦然 #4 9000 | 顾梦然 #4 14400 | 顾梦然 #4 12000 | 燈波つきか #1 34800 | 燈波つきか #4 19000 | 燈波つきか #2 32700</t>
  </si>
  <si>
    <t>-35.40 | -14.60 | -35.60 | -32.70 | 44.60 | -13.90</t>
  </si>
  <si>
    <t>vv保护协会会长 #4 10600 | vv保护协会会长 #3 19400 | vv保护协会会长 #4 10400 | 杜衡缭之 #4 13300 | 杜衡缭之 #1 42600 | 杜衡缭之 #2 14100</t>
  </si>
  <si>
    <t>-47.10 | -11.60 | 7.00 | -0.50 | -24.80 | -13.40</t>
  </si>
  <si>
    <t>万物盛开法则_ #4 -1100 | 万物盛开法则_ #3 22400 | 万物盛开法则_ #2 29000 | RPEG #2 21500 | RPEG #4 21200 | RPEG #3 20600</t>
  </si>
  <si>
    <t>-11.30 | 9.50 | -33.10 | -37.60 | -32.90 | 8.50</t>
  </si>
  <si>
    <t>矢澤にこ722 #3 22700 | 矢澤にこ722 #2 31500 | 矢澤にこ722 #4 12900 | 且听风吟世森林 #4 8400 | 且听风吟世森林 #3 1100 | 且听风吟世森林 #2 30500</t>
  </si>
  <si>
    <t>-39.90 | -28.40 | 1.00 | 2.60 | -27.80 | -10.00</t>
  </si>
  <si>
    <t>DrCheng #4 6100 | DrCheng #4 17600 | DrCheng #2 23000 | 简宇J #2 24600 | 简宇J #4 18200 | 简宇J #3 24000</t>
  </si>
  <si>
    <t>-47.20 | -26.20 | -27.80 | -18.60 | 13.80 | -12.30</t>
  </si>
  <si>
    <t>青燃Vo #4 -1200 | 青燃Vo #4 19800 | 青燃Vo #4 18200 | 鲸蓝雀庄purple #3 15400 | 鲸蓝雀庄purple #2 35800 | 鲸蓝雀庄purple #3 21700</t>
  </si>
  <si>
    <t>-16.80 | 1.90 | -12.50 | -34.50 | -38.00 | -26.90</t>
  </si>
  <si>
    <t>KASUMI酱 #3 17200 | KASUMI酱 #2 23900 | KASUMI酱 #3 21500 | ArcShiki #4 11500 | ArcShiki #4 8000 | ArcShiki #4 19100</t>
  </si>
  <si>
    <t>-32.00 | -36.60 | -13.20 | -10.80 | -41.30 | -26.80</t>
  </si>
  <si>
    <t>FBXX #4 14000 | FBXX #4 9400 | FBXX #3 20800 | FBXX #3 23200 | FBXX #4 4700 | FBXX #4 19200</t>
  </si>
  <si>
    <t>第五届联合杯立直麻将高校赛｜半庄赛道原始排行榜</t>
  </si>
  <si>
    <t>来源：https://s.hieuzest.com/contest/6a51b4ac97150099d8c13dd3?tab=ranking</t>
  </si>
  <si>
    <t>78.50 | 55.70 | 76.40 | 10.20</t>
  </si>
  <si>
    <t>kiddddd #1 58500 | kiddddd #1 35700 | dwtl #1 56400 | dwtl #2 30200</t>
  </si>
  <si>
    <t>https://s.hieuzest.com/contest/6a51b4ac97150099d8c13dd3?tab=ranking</t>
  </si>
  <si>
    <t>59.20 | 20.40 | 57.60 | 76.70</t>
  </si>
  <si>
    <t>御坂喵喵机 #1 39200 | 御坂喵喵机 #2 40400 | 一朵朵海浪 #1 37600 | 一朵朵海浪 #1 56700</t>
  </si>
  <si>
    <t>58.50 | 78.50 | 11.90 | 63.80</t>
  </si>
  <si>
    <t>不会游泳的企鹅 #1 38500 | 不会游泳的企鹅 #1 58500 | lesster #2 31900 | lesster #1 43800</t>
  </si>
  <si>
    <t>63.40 | 55.30 | 10.90 | 59.90</t>
  </si>
  <si>
    <t>cloudts #1 43400 | cloudts #1 35300 | 愚型糯米 #2 30900 | 愚型糯米 #1 39900</t>
  </si>
  <si>
    <t>13.20 | 9.80 | 63.10 | 60.60</t>
  </si>
  <si>
    <t>孤星宿命归尘 #2 33200 | 孤星宿命归尘 #2 29800 | Centa #1 43100 | Centa #1 40600</t>
  </si>
  <si>
    <t>9.80 | 6.00 | 53.00 | 68.80</t>
  </si>
  <si>
    <t>Miaonana7 #2 29800 | Miaonana7 #2 26000 | CQXYM #1 33000 | CQXYM #1 48800</t>
  </si>
  <si>
    <t>58.90 | 60.70 | -57.00 | 74.10</t>
  </si>
  <si>
    <t>真灬文子丿 #1 38900 | 真灬文子丿 #1 40700 | 龙雨俏江南 #4 3000 | 龙雨俏江南 #1 54100</t>
  </si>
  <si>
    <t>2.40 | 105.30 | -47.70 | 74.30</t>
  </si>
  <si>
    <t>JamesR1 #2 22400 | JamesR1 #1 85300 | 天不生我千云 #4 12300 | 天不生我千云 #1 54300</t>
  </si>
  <si>
    <t>-46.00 | 59.60 | 50.50 | 61.80</t>
  </si>
  <si>
    <t>黎兹忆 #4 14000 | 黎兹忆 #1 39600 | 动车头北人 #1 30500 | 动车头北人 #1 41800</t>
  </si>
  <si>
    <t>60.70 | 72.20 | -16.20 | 7.20</t>
  </si>
  <si>
    <t>兼明偏暗 #1 40700 | 兼明偏暗 #1 52200 | cocoacoffee #3 23800 | cocoacoffee #2 27200</t>
  </si>
  <si>
    <t>-14.80 | 75.80 | 60.30 | 2.20</t>
  </si>
  <si>
    <t>简宇J #3 25200 | 简宇J #1 55800 | 浪到一种境界 #1 40300 | 浪到一种境界 #2 22200</t>
  </si>
  <si>
    <t>54.60 | -17.20 | 67.60 | 10.40</t>
  </si>
  <si>
    <t>榴莲忘返白雪冰 #1 34600 | 榴莲忘返白雪冰 #3 22800 | sirHumphrey #1 47600 | sirHumphrey #2 30400</t>
  </si>
  <si>
    <t>14.60 | -57.20 | 57.00 | 74.30</t>
  </si>
  <si>
    <t>樱井章ー #2 34600 | 樱井章ー #4 2800 | 完美淘汰 #1 37000 | 完美淘汰 #1 54300</t>
  </si>
  <si>
    <t>60.50 | 55.70 | 21.40 | -52.20</t>
  </si>
  <si>
    <t>其惟春秋D #1 40500 | 其惟春秋D #1 35700 | 红紫橙 #2 41400 | 红紫橙 #4 7800</t>
  </si>
  <si>
    <t>62.70 | -18.60 | 79.50 | -46.80</t>
  </si>
  <si>
    <t>镜照往日故人影 #1 42700 | 镜照往日故人影 #3 21400 | 唤灵 #1 59500 | 唤灵 #4 13200</t>
  </si>
  <si>
    <t>-18.50 | 90.00 | 25.50 | -22.00</t>
  </si>
  <si>
    <t>Sakyhy_Karen #3 21500 | Sakyhy_Karen #1 70000 | 3strikes #2 45500 | 3strikes #3 18000</t>
  </si>
  <si>
    <t>58.00 | -25.40 | -33.30 | 71.00</t>
  </si>
  <si>
    <t>樱满哲也 #1 38000 | 樱满哲也 #3 14600 | 加速的黄昏 #3 6700 | 加速的黄昏 #1 51000</t>
  </si>
  <si>
    <t>10.10 | 9.60 | 66.90 | -20.30</t>
  </si>
  <si>
    <t>无为有处友还无 #2 30100 | 无为有处友还无 #2 29600 | Masaki丶 #1 46900 | Masaki丶 #3 19700</t>
  </si>
  <si>
    <t>51.30 | -26.70 | 59.20 | -19.40</t>
  </si>
  <si>
    <t>oeGK #1 31300 | oeGK #3 13300 | 红厂长 #1 39200 | 红厂长 #3 20600</t>
  </si>
  <si>
    <t>68.90 | 56.40 | -17.00 | -47.10</t>
  </si>
  <si>
    <t>流觞23333 #1 48900 | 流觞23333 #1 36400 | sandinvaseline #3 23000 | sandinvaseline #4 12900</t>
  </si>
  <si>
    <t>-41.80 | -16.70 | 54.90 | 56.80</t>
  </si>
  <si>
    <t>怡儿三思物流 #4 18200 | 怡儿三思物流 #3 23300 | 神灬弑 #1 34900 | 神灬弑 #1 36800</t>
  </si>
  <si>
    <t>4.50 | -13.70 | -1.00 | 52.90</t>
  </si>
  <si>
    <t>栗子球神 #2 24500 | 栗子球神 #3 26300 | K0itoYuu #2 19000 | K0itoYuu #1 32900</t>
  </si>
  <si>
    <t>56.40 | -58.30 | 60.20 | -22.90</t>
  </si>
  <si>
    <t>末原酱 #1 36400 | 末原酱 #4 1700 | 眸子何清澈 #1 40200 | 眸子何清澈 #3 17100</t>
  </si>
  <si>
    <t>58.60 | 9.40 | -0.60 | -41.90</t>
  </si>
  <si>
    <t>岩倉玲音_ #1 38600 | 岩倉玲音_ #2 29400 | rua死你小猫娘 #2 19400 | rua死你小猫娘 #4 18100</t>
  </si>
  <si>
    <t>-53.50 | 12.20 | 3.50 | 53.10</t>
  </si>
  <si>
    <t>林間疾風HAYATE #4 6500 | 林間疾風HAYATE #2 32200 | 魔方12139 #2 23500 | 魔方12139 #1 33100</t>
  </si>
  <si>
    <t>-15.70 | 50.50 | 6.70 | -28.20</t>
  </si>
  <si>
    <t>yuyu #3 24300 | yuyu #1 30500 | 小泖 #2 26700 | 小泖 #3 11800</t>
  </si>
  <si>
    <t>-20.10 | 68.20 | -48.30 | 11.00</t>
  </si>
  <si>
    <t>张小咪丶 #3 19900 | 张小咪丶 #1 48200 | 妮露小姐的猫 #4 11700 | 妮露小姐的猫 #2 31000</t>
  </si>
  <si>
    <t>17.50 | -15.40 | 8.30 | -0.20</t>
  </si>
  <si>
    <t>凭栏观风起 #2 37500 | 凭栏观风起 #3 24600 | 下头男chitu #2 28300 | 下头男chitu #2 19800</t>
  </si>
  <si>
    <t>-18.40 | 11.70 | 8.60 | 5.90</t>
  </si>
  <si>
    <t>沈阳风花雀庄 #3 21600 | 沈阳风花雀庄 #2 31700 | ㅤㅤ陌晨欢ㅤㅤ #2 28600 | ㅤㅤ陌晨欢ㅤㅤ #2 25900</t>
  </si>
  <si>
    <t>-27.40 | 15.30 | 12.70 | 5.90</t>
  </si>
  <si>
    <t>霸气吃手手 #3 12600 | 霸气吃手手 #2 35300 | 真的玩不了哩 #2 32700 | 真的玩不了哩 #2 25900</t>
  </si>
  <si>
    <t>-42.90 | -72.90 | 61.40 | 56.10</t>
  </si>
  <si>
    <t>叶子嵐 #4 17100 | 叶子嵐 #4 -12900 | 君の本语当上手 #1 41400 | 君の本语当上手 #1 36100</t>
  </si>
  <si>
    <t>60.00 | -26.90 | 10.10 | -43.50</t>
  </si>
  <si>
    <t>刀戈doge #1 40000 | 刀戈doge #3 13100 | 将军守四方 #2 30100 | 将军守四方 #4 16500</t>
  </si>
  <si>
    <t>64.80 | 16.50 | -22.70 | -63.60</t>
  </si>
  <si>
    <t>萌萌小飞机 #1 44800 | 萌萌小飞机 #2 36500 | 悠雨浪淘沙 #3 17300 | 悠雨浪淘沙 #4 -3600</t>
  </si>
  <si>
    <t>17.80 | 11.50 | -11.80 | -22.90</t>
  </si>
  <si>
    <t>呓语凸(&gt;皿&lt;)凸 #2 37800 | 呓语凸(&gt;皿&lt;)凸 #2 31500 | 空岛未晴 #3 28200 | 空岛未晴 #3 17100</t>
  </si>
  <si>
    <t>-18.60 | 56.10 | -22.80 | -22.10</t>
  </si>
  <si>
    <t>kmino #3 21400 | kmino #1 36100 | 塔罗336 #3 17200 | 塔罗336 #3 17900</t>
  </si>
  <si>
    <t>7.50 | 65.00 | -65.30 | -18.10</t>
  </si>
  <si>
    <t>天澜宇 #2 27500 | 天澜宇 #1 45000 | 100半庄到雀豪 #4 -5300 | 100半庄到雀豪 #3 21900</t>
  </si>
  <si>
    <t>-13.90 | 6.30 | 14.00 | -21.70</t>
  </si>
  <si>
    <t>taaaki #3 26100 | taaaki #2 26300 | FSENK #2 34000 | FSENK #3 18300</t>
  </si>
  <si>
    <t>-54.90 | 65.50 | -47.80 | 14.50</t>
  </si>
  <si>
    <t>leohum233 #4 5100 | leohum233 #1 45500 | EDINYA #4 12200 | EDINYA #2 34500</t>
  </si>
  <si>
    <t>-47.70 | -13.80 | -21.40 | 58.60</t>
  </si>
  <si>
    <t>吹梦绕枕 #4 12300 | 吹梦绕枕 #3 26200 | 吹梦绕枕 #3 18600 | 吹梦绕枕 #1 38600</t>
  </si>
  <si>
    <t>11.60 | 13.10 | -58.30 | 1.90</t>
  </si>
  <si>
    <t>MasterSUN #2 31600 | MasterSUN #2 33100 | Benze #4 1700 | Benze #2 21900</t>
  </si>
  <si>
    <t>12.50 | -1.20 | -19.90 | -34.50</t>
  </si>
  <si>
    <t>水鱼老师 #2 32500 | 水鱼老师 #2 18800 | リーチしないよ #3 20100 | リーチしないよ #3 5500</t>
  </si>
  <si>
    <t>-58.30 | -56.00 | 8.40 | 60.60</t>
  </si>
  <si>
    <t>巴库qwq #4 1700 | 巴库qwq #4 4000 | 澡雪先生 #2 28400 | 澡雪先生 #1 40600</t>
  </si>
  <si>
    <t>-56.00 | -13.00 | 66.10 | -50.90</t>
  </si>
  <si>
    <t>唐乐吟天下第一 #4 4000 | 唐乐吟天下第一 #3 27000 | 唐乐吟天下第一 #1 46100 | 唐乐吟天下第一 #4 9100</t>
  </si>
  <si>
    <t>5.50 | 6.80 | -55.30 | -19.80</t>
  </si>
  <si>
    <t>吕墨 #2 25500 | 吕墨 #2 26800 | iSanae #4 4700 | iSanae #3 20200</t>
  </si>
  <si>
    <t>7.80 | 7.20 | -59.00 | -23.90</t>
  </si>
  <si>
    <t>TapSwag #2 27800 | TapSwag #2 27200 | smlマキマ7 #4 1000 | smlマキマ7 #3 16100</t>
  </si>
  <si>
    <t>-21.80 | -52.20 | -17.70 | 11.80</t>
  </si>
  <si>
    <t>狸花ねこ #3 18200 | 狸花ねこ #4 7800 | 一只弱酱阿 #3 22300 | 一只弱酱阿 #2 31800</t>
  </si>
  <si>
    <t>12.70 | -52.70 | 10.10 | -56.70</t>
  </si>
  <si>
    <t>lialia0721 #2 32700 | lialia0721 #4 7300 | Stellafine #2 30100 | Stellafine #4 3300</t>
  </si>
  <si>
    <t>-50.90 | -29.00 | 10.30 | -21.60</t>
  </si>
  <si>
    <t>天才威的童年 #4 9100 | 天才威的童年 #3 11000 | 小夜时雨ovo #2 30300 | 小夜时雨ovo #3 18400</t>
  </si>
  <si>
    <t>-20.30 | -38.70 | -55.90 | 18.20</t>
  </si>
  <si>
    <t>白鸟鸟tori #3 19700 | 白鸟鸟tori #3 1300 | 芝士坨坨 #4 4100 | 芝士坨坨 #2 38200</t>
  </si>
  <si>
    <t>-12.70 | -21.30 | -15.90 | -52.70</t>
  </si>
  <si>
    <t>必须满贯 #3 27300 | 必须满贯 #3 18700 | 狸猫猫猫猫 #3 24100 | 狸猫猫猫猫 #4 7300</t>
  </si>
  <si>
    <t>-18.20 | -43.10 | -44.90 | 3.60</t>
  </si>
  <si>
    <t>工作倒贴钱 #3 21800 | 工作倒贴钱 #4 16900 | 可可柠柠 #4 15100 | 可可柠柠 #2 23600</t>
  </si>
  <si>
    <t>11.00 | -54.00 | -14.40 | -46.80</t>
  </si>
  <si>
    <t>lostwt049 #2 31000 | lostwt049 #4 6000 | 姜月辞 #3 25600 | 姜月辞 #4 13200</t>
  </si>
  <si>
    <t>-72.50 | -47.30 | 59.70 | -50.90</t>
  </si>
  <si>
    <t>兔兔伯爵单推人 #4 -12500 | 兔兔伯爵单推人 #4 12700 | 四一人 #1 39700 | 四一人 #4 9100</t>
  </si>
  <si>
    <t>-47.40 | -46.20 | -24.90 | 5.20</t>
  </si>
  <si>
    <t>狸猫爱喝水 #4 12600 | 狸猫爱喝水 #4 13800 | KASUMI酱 #3 15100 | KASUMI酱 #2 25200</t>
  </si>
  <si>
    <t>-15.80 | -56.40 | -27.40 | -16.00</t>
  </si>
  <si>
    <t>一顺百顺顺顺飞 #3 24200 | 一顺百顺顺顺飞 #4 3600 | Rewritous #3 12600 | Rewritous #3 24000</t>
  </si>
  <si>
    <t>-51.30 | -19.70 | -61.70 | 13.70</t>
  </si>
  <si>
    <t>dnksk #4 8700 | dnksk #3 20300 | 健健康康kk #4 -1700 | 健健康康kk #2 33700</t>
  </si>
  <si>
    <t>7.00 | -56.90 | -53.20 | -15.90</t>
  </si>
  <si>
    <t>日麻小野猪 #2 27000 | 日麻小野猪 #4 3100 | 仙之逍遥 #4 6800 | 仙之逍遥 #3 24100</t>
  </si>
  <si>
    <t>-51.90 | -44.70 | -43.80 | 12.10</t>
  </si>
  <si>
    <t>心悦泗泾 #4 8100 | 心悦泗泾 #4 15300 | 時之彥士 #4 16200 | 時之彥士 #2 32100</t>
  </si>
  <si>
    <t>-50.20 | 6.50 | -47.30 | -44.80</t>
  </si>
  <si>
    <t>清石间 #4 9800 | 清石间 #2 26500 | Dokka #4 12700 | Dokka #4 15200</t>
  </si>
  <si>
    <t>-22.90 | -50.10 | -46.70 | -18.10</t>
  </si>
  <si>
    <t>Husain #3 17100 | Husain #4 9900 | 源来是你12 #4 13300 | 源来是你12 #3 21900</t>
  </si>
  <si>
    <t>-19.20 | -54.10 | -14.20 | -58.70</t>
  </si>
  <si>
    <t>邻菲罗啉 #3 20800 | 邻菲罗啉 #4 5900 | 孙睦然 #3 25800 | 孙睦然 #4 1300</t>
  </si>
  <si>
    <t>-19.90 | -31.70 | -48.00 | -47.10</t>
  </si>
  <si>
    <t>杜王町一番可愛 #3 20100 | 杜王町一番可愛 #3 8300 | 氟碳硼 #4 12000 | 氟碳硼 #4 12900</t>
  </si>
  <si>
    <t>-70.10 | -18.60 | -20.80 | -51.20</t>
  </si>
  <si>
    <t>shaozh #4 -10100 | shaozh #3 21400 | 馬馬華田 #3 19200 | 馬馬華田 #4 8800</t>
  </si>
  <si>
    <t>-46.90 | -83.10 | -13.60 | -54.70</t>
  </si>
  <si>
    <t>火星孩子 #4 13100 | 火星孩子 #4 -23100 | 我才知道我是猪 #3 26400 | 我才知道我是猪 #4 5300</t>
  </si>
  <si>
    <t>使用说明与数据校验</t>
  </si>
  <si>
    <t>项目</t>
  </si>
  <si>
    <t>说明</t>
  </si>
  <si>
    <t>东风赛道来源</t>
  </si>
  <si>
    <t>半庄赛道来源</t>
  </si>
  <si>
    <t>抓取时间</t>
  </si>
  <si>
    <t>2026-07-12T07:57:25.747Z（UTC）</t>
  </si>
  <si>
    <t>快照说明</t>
  </si>
  <si>
    <t>比赛仍显示为“进行中”；本文件为抓取时点快照，不会自动联网更新。</t>
  </si>
  <si>
    <t>合并规则</t>
  </si>
  <si>
    <t>使用网站中的学校名称精确匹配；两个赛道均为 64 所学校，且学校集合完全一致。</t>
  </si>
  <si>
    <t>原始总分 = 东风分数 + 半庄分数。</t>
  </si>
  <si>
    <t>扣分规则</t>
  </si>
  <si>
    <t>在合并排行榜的“扣分”列输入正数；扣分后总分 = 原始总分 - 扣分。</t>
  </si>
  <si>
    <t>按扣分后总分使用 RANK.EQ 降序排名；同分学校并列。扣分后可按表头筛选箭头重新排序行。</t>
  </si>
  <si>
    <t>数据校验</t>
  </si>
  <si>
    <t>两个赛道均无重复学校；每条记录的明细得分之和等于赛道分数；每个赛道总分约等于 0。</t>
  </si>
</sst>
</file>

<file path=xl/styles.xml><?xml version="1.0" encoding="utf-8"?>
<styleSheet xmlns="http://schemas.openxmlformats.org/spreadsheetml/2006/main">
  <numFmts count="7">
    <numFmt numFmtId="300" formatCode="0.00;[Red]\-0.00"/>
    <numFmt numFmtId="301" formatCode="General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  <numFmt numFmtId="306" formatCode="_ &quot;￥&quot;* #,##0_ ;_ &quot;￥&quot;* \-#,##0_ ;_ &quot;￥&quot;* &quot;-&quot;_ ;_ @_ "/>
  </numFmts>
  <fonts count="38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6"/>
    </font>
    <font>
      <name val="Microsoft YaHei"/>
      <charset val="134"/>
      <color rgb="FF17324D"/>
      <sz val="9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17324D"/>
      <sz val="12"/>
    </font>
    <font>
      <name val="Microsoft YaHei"/>
      <charset val="134"/>
      <i val="1"/>
      <color rgb="FF7F6000"/>
      <sz val="9"/>
    </font>
    <font>
      <name val="Microsoft YaHei"/>
      <charset val="134"/>
      <b val="1"/>
      <color rgb="FFFFFFFF"/>
      <sz val="11"/>
    </font>
    <font>
      <name val="Microsoft YaHei"/>
      <charset val="134"/>
      <color rgb="FF1F2937"/>
      <sz val="10"/>
    </font>
    <font>
      <name val="Microsoft YaHei"/>
      <charset val="134"/>
      <b val="1"/>
      <color rgb="FF7F6000"/>
      <sz val="10"/>
    </font>
    <font>
      <name val="Microsoft YaHei"/>
      <charset val="134"/>
      <b val="1"/>
      <color rgb="FF17324D"/>
      <sz val="10"/>
    </font>
    <font>
      <name val="Microsoft YaHei"/>
      <charset val="134"/>
      <i val="1"/>
      <color rgb="FF5B6573"/>
      <sz val="9"/>
    </font>
    <font>
      <name val="Microsoft YaHei"/>
      <charset val="134"/>
      <color rgb="FF2F75B5"/>
      <sz val="8"/>
    </font>
    <font>
      <name val="Microsoft YaHei"/>
      <charset val="134"/>
      <b val="1"/>
      <color rgb="FF17324D"/>
      <sz val="11"/>
    </font>
    <font>
      <name val="Microsoft YaHei"/>
      <charset val="134"/>
      <color rgb="FF2F75B5"/>
      <sz val="9"/>
    </font>
    <font>
      <name val="Microsoft YaHei"/>
      <charset val="134"/>
      <color rgb="FF1F2937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800080"/>
      <sz val="11"/>
      <u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sz val="11"/>
    </font>
  </fonts>
  <fills count="4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3">
    <border>
      <left/>
      <right/>
      <top/>
      <bottom/>
      <diagonal/>
    </border>
    <border>
      <left style="thin">
        <color rgb="FFA6C7C9"/>
      </left>
      <right style="thin">
        <color rgb="FFA6C7C9"/>
      </right>
      <top style="thin">
        <color rgb="FFA6C7C9"/>
      </top>
      <bottom style="thin">
        <color rgb="FFA6C7C9"/>
      </bottom>
      <diagonal/>
    </border>
    <border>
      <left style="thin">
        <color rgb="FFA6C7C9"/>
      </left>
      <right/>
      <top style="thin">
        <color rgb="FFA6C7C9"/>
      </top>
      <bottom style="thin">
        <color rgb="FFA6C7C9"/>
      </bottom>
      <diagonal/>
    </border>
    <border>
      <left/>
      <right style="thin">
        <color rgb="FFA6C7C9"/>
      </right>
      <top style="thin">
        <color rgb="FFA6C7C9"/>
      </top>
      <bottom style="thin">
        <color rgb="FFA6C7C9"/>
      </bottom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/>
      <top/>
      <bottom style="thin">
        <color rgb="FFE7EBF0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E7EBF0"/>
      </bottom>
      <diagonal/>
    </border>
    <border>
      <left/>
      <right/>
      <top style="thin">
        <color rgb="FFE7EBF0"/>
      </top>
      <bottom style="thin">
        <color rgb="FFE7EBF0"/>
      </bottom>
      <diagonal/>
    </border>
    <border>
      <left style="thin">
        <color rgb="FFD6B656"/>
      </left>
      <right style="thin">
        <color rgb="FFD6B656"/>
      </right>
      <top style="thin">
        <color rgb="FFE7EBF0"/>
      </top>
      <bottom style="thin">
        <color rgb="FFE7EBF0"/>
      </bottom>
      <diagonal/>
    </border>
    <border>
      <left/>
      <right/>
      <top style="thin">
        <color rgb="FFE7EBF0"/>
      </top>
      <bottom style="thin">
        <color rgb="FFD5DCE4"/>
      </bottom>
      <diagonal/>
    </border>
    <border>
      <left style="thin">
        <color rgb="FFD6B656"/>
      </left>
      <right style="thin">
        <color rgb="FFD6B656"/>
      </right>
      <top style="thin">
        <color rgb="FFE7EBF0"/>
      </top>
      <bottom style="thin">
        <color rgb="FFD6B656"/>
      </bottom>
      <diagonal/>
    </border>
    <border>
      <left style="thin">
        <color rgb="FFD5DCE4"/>
      </left>
      <right style="thin">
        <color rgb="FFD5DCE4"/>
      </right>
      <top style="thin">
        <color rgb="FFD5DCE4"/>
      </top>
      <bottom/>
      <diagonal/>
    </border>
    <border>
      <left style="thin">
        <color rgb="FFD5DCE4"/>
      </left>
      <right/>
      <top style="thin">
        <color rgb="FFD5DCE4"/>
      </top>
      <bottom/>
      <diagonal/>
    </border>
    <border>
      <left/>
      <right/>
      <top style="thin">
        <color rgb="FFD5DCE4"/>
      </top>
      <bottom/>
      <diagonal/>
    </border>
    <border>
      <left/>
      <right style="thin">
        <color rgb="FFD5DCE4"/>
      </right>
      <top style="thin">
        <color rgb="FFD5DCE4"/>
      </top>
      <bottom/>
      <diagonal/>
    </border>
    <border>
      <left style="thin">
        <color rgb="FFD5DCE4"/>
      </left>
      <right style="thin">
        <color rgb="FFD5DCE4"/>
      </right>
      <top/>
      <bottom/>
      <diagonal/>
    </border>
    <border>
      <left style="thin">
        <color rgb="FFD5DCE4"/>
      </left>
      <right/>
      <top/>
      <bottom/>
      <diagonal/>
    </border>
    <border>
      <left/>
      <right style="thin">
        <color rgb="FFD5DCE4"/>
      </right>
      <top/>
      <bottom/>
      <diagonal/>
    </border>
    <border>
      <left style="thin">
        <color rgb="FFD5DCE4"/>
      </left>
      <right style="thin">
        <color rgb="FFD5DCE4"/>
      </right>
      <top/>
      <bottom style="thin">
        <color rgb="FFD5DCE4"/>
      </bottom>
      <diagonal/>
    </border>
    <border>
      <left style="thin">
        <color rgb="FFD5DCE4"/>
      </left>
      <right/>
      <top/>
      <bottom style="thin">
        <color rgb="FFD5DCE4"/>
      </bottom>
      <diagonal/>
    </border>
    <border>
      <left/>
      <right/>
      <top/>
      <bottom style="thin">
        <color rgb="FFD5DCE4"/>
      </bottom>
      <diagonal/>
    </border>
    <border>
      <left/>
      <right style="thin">
        <color rgb="FFD5DCE4"/>
      </right>
      <top/>
      <bottom style="thin">
        <color rgb="FFD5DCE4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7" fillId="0" borderId="24" xfId="0">
      <alignment vertical="center"/>
    </xf>
    <xf numFmtId="301" fontId="18" fillId="9" borderId="24" xfId="0" applyNumberFormat="0" applyFill="0" applyBorder="0" applyAlignment="0" applyProtection="0">
      <alignment vertical="center"/>
    </xf>
    <xf numFmtId="302" fontId="17" fillId="9" borderId="24" xfId="0" applyFont="0" applyFill="0" applyBorder="0" applyAlignment="0" applyProtection="0">
      <alignment vertical="center"/>
    </xf>
    <xf numFmtId="303" fontId="17" fillId="9" borderId="24" xfId="0" applyFont="0" applyFill="0" applyBorder="0" applyAlignment="0" applyProtection="0">
      <alignment vertical="center"/>
    </xf>
    <xf numFmtId="304" fontId="17" fillId="9" borderId="24" xfId="0" applyFont="0" applyFill="0" applyBorder="0" applyAlignment="0" applyProtection="0">
      <alignment vertical="center"/>
    </xf>
    <xf numFmtId="305" fontId="17" fillId="9" borderId="24" xfId="0" applyFont="0" applyFill="0" applyBorder="0" applyAlignment="0" applyProtection="0">
      <alignment vertical="center"/>
    </xf>
    <xf numFmtId="306" fontId="17" fillId="9" borderId="24" xfId="0" applyFont="0" applyFill="0" applyBorder="0" applyAlignment="0" applyProtection="0">
      <alignment vertical="center"/>
    </xf>
    <xf numFmtId="301" fontId="19" fillId="9" borderId="24" xfId="0" applyNumberFormat="0" applyFill="0" applyBorder="0" applyAlignment="0" applyProtection="0">
      <alignment vertical="center"/>
    </xf>
    <xf numFmtId="301" fontId="17" fillId="10" borderId="25" xfId="0" applyNumberFormat="0" applyFont="0" applyAlignment="0" applyProtection="0">
      <alignment vertical="center"/>
    </xf>
    <xf numFmtId="301" fontId="20" fillId="9" borderId="24" xfId="0" applyNumberFormat="0" applyFill="0" applyBorder="0" applyAlignment="0" applyProtection="0">
      <alignment vertical="center"/>
    </xf>
    <xf numFmtId="301" fontId="21" fillId="9" borderId="24" xfId="0" applyNumberFormat="0" applyFill="0" applyBorder="0" applyAlignment="0" applyProtection="0">
      <alignment vertical="center"/>
    </xf>
    <xf numFmtId="301" fontId="22" fillId="9" borderId="24" xfId="0" applyNumberFormat="0" applyFill="0" applyBorder="0" applyAlignment="0" applyProtection="0">
      <alignment vertical="center"/>
    </xf>
    <xf numFmtId="301" fontId="23" fillId="9" borderId="26" xfId="0" applyNumberFormat="0" applyFill="0" applyAlignment="0" applyProtection="0">
      <alignment vertical="center"/>
    </xf>
    <xf numFmtId="301" fontId="24" fillId="9" borderId="26" xfId="0" applyNumberFormat="0" applyFill="0" applyAlignment="0" applyProtection="0">
      <alignment vertical="center"/>
    </xf>
    <xf numFmtId="301" fontId="25" fillId="9" borderId="27" xfId="0" applyNumberFormat="0" applyFill="0" applyAlignment="0" applyProtection="0">
      <alignment vertical="center"/>
    </xf>
    <xf numFmtId="301" fontId="25" fillId="9" borderId="24" xfId="0" applyNumberFormat="0" applyFill="0" applyBorder="0" applyAlignment="0" applyProtection="0">
      <alignment vertical="center"/>
    </xf>
    <xf numFmtId="301" fontId="26" fillId="11" borderId="28" xfId="0" applyNumberFormat="0" applyAlignment="0" applyProtection="0">
      <alignment vertical="center"/>
    </xf>
    <xf numFmtId="301" fontId="27" fillId="12" borderId="29" xfId="0" applyNumberFormat="0" applyAlignment="0" applyProtection="0">
      <alignment vertical="center"/>
    </xf>
    <xf numFmtId="301" fontId="28" fillId="12" borderId="28" xfId="0" applyNumberFormat="0" applyAlignment="0" applyProtection="0">
      <alignment vertical="center"/>
    </xf>
    <xf numFmtId="301" fontId="29" fillId="13" borderId="30" xfId="0" applyNumberFormat="0" applyAlignment="0" applyProtection="0">
      <alignment vertical="center"/>
    </xf>
    <xf numFmtId="301" fontId="30" fillId="9" borderId="31" xfId="0" applyNumberFormat="0" applyFill="0" applyAlignment="0" applyProtection="0">
      <alignment vertical="center"/>
    </xf>
    <xf numFmtId="301" fontId="31" fillId="9" borderId="32" xfId="0" applyNumberFormat="0" applyFill="0" applyAlignment="0" applyProtection="0">
      <alignment vertical="center"/>
    </xf>
    <xf numFmtId="301" fontId="32" fillId="14" borderId="24" xfId="0" applyNumberFormat="0" applyBorder="0" applyAlignment="0" applyProtection="0">
      <alignment vertical="center"/>
    </xf>
    <xf numFmtId="301" fontId="33" fillId="15" borderId="24" xfId="0" applyNumberFormat="0" applyBorder="0" applyAlignment="0" applyProtection="0">
      <alignment vertical="center"/>
    </xf>
    <xf numFmtId="301" fontId="34" fillId="16" borderId="24" xfId="0" applyNumberFormat="0" applyBorder="0" applyAlignment="0" applyProtection="0">
      <alignment vertical="center"/>
    </xf>
    <xf numFmtId="301" fontId="35" fillId="17" borderId="24" xfId="0" applyNumberFormat="0" applyBorder="0" applyAlignment="0" applyProtection="0">
      <alignment vertical="center"/>
    </xf>
    <xf numFmtId="301" fontId="36" fillId="18" borderId="24" xfId="0" applyNumberFormat="0" applyBorder="0" applyAlignment="0" applyProtection="0">
      <alignment vertical="center"/>
    </xf>
    <xf numFmtId="301" fontId="36" fillId="19" borderId="24" xfId="0" applyNumberFormat="0" applyBorder="0" applyAlignment="0" applyProtection="0">
      <alignment vertical="center"/>
    </xf>
    <xf numFmtId="301" fontId="35" fillId="20" borderId="24" xfId="0" applyNumberFormat="0" applyBorder="0" applyAlignment="0" applyProtection="0">
      <alignment vertical="center"/>
    </xf>
    <xf numFmtId="301" fontId="35" fillId="21" borderId="24" xfId="0" applyNumberFormat="0" applyBorder="0" applyAlignment="0" applyProtection="0">
      <alignment vertical="center"/>
    </xf>
    <xf numFmtId="301" fontId="36" fillId="22" borderId="24" xfId="0" applyNumberFormat="0" applyBorder="0" applyAlignment="0" applyProtection="0">
      <alignment vertical="center"/>
    </xf>
    <xf numFmtId="301" fontId="36" fillId="23" borderId="24" xfId="0" applyNumberFormat="0" applyBorder="0" applyAlignment="0" applyProtection="0">
      <alignment vertical="center"/>
    </xf>
    <xf numFmtId="301" fontId="35" fillId="24" borderId="24" xfId="0" applyNumberFormat="0" applyBorder="0" applyAlignment="0" applyProtection="0">
      <alignment vertical="center"/>
    </xf>
    <xf numFmtId="301" fontId="35" fillId="25" borderId="24" xfId="0" applyNumberFormat="0" applyBorder="0" applyAlignment="0" applyProtection="0">
      <alignment vertical="center"/>
    </xf>
    <xf numFmtId="301" fontId="36" fillId="26" borderId="24" xfId="0" applyNumberFormat="0" applyBorder="0" applyAlignment="0" applyProtection="0">
      <alignment vertical="center"/>
    </xf>
    <xf numFmtId="301" fontId="36" fillId="27" borderId="24" xfId="0" applyNumberFormat="0" applyBorder="0" applyAlignment="0" applyProtection="0">
      <alignment vertical="center"/>
    </xf>
    <xf numFmtId="301" fontId="35" fillId="28" borderId="24" xfId="0" applyNumberFormat="0" applyBorder="0" applyAlignment="0" applyProtection="0">
      <alignment vertical="center"/>
    </xf>
    <xf numFmtId="301" fontId="35" fillId="29" borderId="24" xfId="0" applyNumberFormat="0" applyBorder="0" applyAlignment="0" applyProtection="0">
      <alignment vertical="center"/>
    </xf>
    <xf numFmtId="301" fontId="36" fillId="30" borderId="24" xfId="0" applyNumberFormat="0" applyBorder="0" applyAlignment="0" applyProtection="0">
      <alignment vertical="center"/>
    </xf>
    <xf numFmtId="301" fontId="36" fillId="31" borderId="24" xfId="0" applyNumberFormat="0" applyBorder="0" applyAlignment="0" applyProtection="0">
      <alignment vertical="center"/>
    </xf>
    <xf numFmtId="301" fontId="35" fillId="32" borderId="24" xfId="0" applyNumberFormat="0" applyBorder="0" applyAlignment="0" applyProtection="0">
      <alignment vertical="center"/>
    </xf>
    <xf numFmtId="301" fontId="35" fillId="33" borderId="24" xfId="0" applyNumberFormat="0" applyBorder="0" applyAlignment="0" applyProtection="0">
      <alignment vertical="center"/>
    </xf>
    <xf numFmtId="301" fontId="36" fillId="34" borderId="24" xfId="0" applyNumberFormat="0" applyBorder="0" applyAlignment="0" applyProtection="0">
      <alignment vertical="center"/>
    </xf>
    <xf numFmtId="301" fontId="37" fillId="9" borderId="24" xfId="0"/>
    <xf numFmtId="301" fontId="36" fillId="35" borderId="24" xfId="0" applyNumberFormat="0" applyBorder="0" applyAlignment="0" applyProtection="0">
      <alignment vertical="center"/>
    </xf>
    <xf numFmtId="301" fontId="35" fillId="36" borderId="24" xfId="0" applyNumberFormat="0" applyBorder="0" applyAlignment="0" applyProtection="0">
      <alignment vertical="center"/>
    </xf>
    <xf numFmtId="301" fontId="35" fillId="37" borderId="24" xfId="0" applyNumberFormat="0" applyBorder="0" applyAlignment="0" applyProtection="0">
      <alignment vertical="center"/>
    </xf>
    <xf numFmtId="301" fontId="36" fillId="38" borderId="24" xfId="0" applyNumberFormat="0" applyBorder="0" applyAlignment="0" applyProtection="0">
      <alignment vertical="center"/>
    </xf>
    <xf numFmtId="301" fontId="36" fillId="39" borderId="24" xfId="0" applyNumberFormat="0" applyBorder="0" applyAlignment="0" applyProtection="0">
      <alignment vertical="center"/>
    </xf>
    <xf numFmtId="301" fontId="35" fillId="40" borderId="24" xf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24" xfId="43" applyFont="1" applyFill="1" applyAlignment="1">
      <alignment horizontal="left" vertical="center"/>
    </xf>
    <xf numFmtId="301" fontId="4" fillId="3" borderId="24" xfId="43" applyFont="1" applyFill="1" applyAlignment="1">
      <alignment vertical="center"/>
    </xf>
    <xf numFmtId="301" fontId="5" fillId="4" borderId="24" xfId="43" applyFont="1" applyFill="1" applyAlignment="1">
      <alignment horizontal="center" vertical="center"/>
    </xf>
    <xf numFmtId="301" fontId="6" fillId="5" borderId="1" xfId="43" applyFont="1" applyFill="1" applyBorder="1" applyAlignment="1">
      <alignment horizontal="center" vertical="center"/>
    </xf>
    <xf numFmtId="300" fontId="6" fillId="5" borderId="1" xfId="43" applyNumberFormat="1" applyFont="1" applyFill="1" applyBorder="1" applyAlignment="1">
      <alignment horizontal="center" vertical="center"/>
    </xf>
    <xf numFmtId="300" fontId="5" fillId="4" borderId="24" xfId="43" applyNumberFormat="1" applyFont="1" applyFill="1" applyAlignment="1">
      <alignment horizontal="center" vertical="center"/>
    </xf>
    <xf numFmtId="301" fontId="6" fillId="5" borderId="2" xfId="43" applyFont="1" applyFill="1" applyBorder="1" applyAlignment="1">
      <alignment horizontal="center" vertical="center"/>
    </xf>
    <xf numFmtId="301" fontId="6" fillId="5" borderId="3" xfId="43" applyFont="1" applyFill="1" applyBorder="1" applyAlignment="1">
      <alignment horizontal="center" vertical="center"/>
    </xf>
    <xf numFmtId="301" fontId="7" fillId="6" borderId="24" xfId="43" applyFont="1" applyFill="1" applyAlignment="1">
      <alignment vertical="center"/>
    </xf>
    <xf numFmtId="301" fontId="8" fillId="7" borderId="4" xfId="43" applyFont="1" applyFill="1" applyBorder="1" applyAlignment="1">
      <alignment horizontal="center" vertical="center" wrapText="1"/>
    </xf>
    <xf numFmtId="301" fontId="8" fillId="7" borderId="5" xfId="43" applyFont="1" applyFill="1" applyBorder="1" applyAlignment="1">
      <alignment horizontal="center" vertical="center" wrapText="1"/>
    </xf>
    <xf numFmtId="301" fontId="8" fillId="7" borderId="6" xfId="43" applyFont="1" applyFill="1" applyBorder="1" applyAlignment="1">
      <alignment horizontal="center" vertical="center" wrapText="1"/>
    </xf>
    <xf numFmtId="301" fontId="9" fillId="9" borderId="7" xfId="43" applyFont="1" applyBorder="1" applyAlignment="1">
      <alignment horizontal="center" vertical="center"/>
    </xf>
    <xf numFmtId="301" fontId="9" fillId="9" borderId="7" xfId="43" applyFont="1" applyBorder="1" applyAlignment="1">
      <alignment horizontal="left" vertical="center"/>
    </xf>
    <xf numFmtId="300" fontId="9" fillId="9" borderId="7" xfId="43" applyNumberFormat="1" applyFont="1" applyBorder="1" applyAlignment="1">
      <alignment vertical="center"/>
    </xf>
    <xf numFmtId="300" fontId="9" fillId="9" borderId="7" xfId="43" applyNumberFormat="1" applyFont="1" applyBorder="1" applyAlignment="1">
      <alignment horizontal="center" vertical="center"/>
    </xf>
    <xf numFmtId="300" fontId="9" fillId="3" borderId="7" xfId="43" applyNumberFormat="1" applyFont="1" applyFill="1" applyBorder="1" applyAlignment="1">
      <alignment vertical="center"/>
    </xf>
    <xf numFmtId="2" fontId="10" fillId="6" borderId="8" xfId="43" applyNumberFormat="1" applyFont="1" applyFill="1" applyBorder="1" applyAlignment="1">
      <alignment horizontal="right" vertical="center"/>
    </xf>
    <xf numFmtId="300" fontId="11" fillId="8" borderId="7" xfId="43" applyNumberFormat="1" applyFont="1" applyFill="1" applyBorder="1" applyAlignment="1">
      <alignment vertical="center"/>
    </xf>
    <xf numFmtId="301" fontId="9" fillId="9" borderId="9" xfId="43" applyFont="1" applyBorder="1" applyAlignment="1">
      <alignment horizontal="center" vertical="center"/>
    </xf>
    <xf numFmtId="301" fontId="9" fillId="9" borderId="9" xfId="43" applyFont="1" applyBorder="1" applyAlignment="1">
      <alignment horizontal="left" vertical="center"/>
    </xf>
    <xf numFmtId="300" fontId="9" fillId="9" borderId="9" xfId="43" applyNumberFormat="1" applyFont="1" applyBorder="1" applyAlignment="1">
      <alignment vertical="center"/>
    </xf>
    <xf numFmtId="300" fontId="9" fillId="9" borderId="9" xfId="43" applyNumberFormat="1" applyFont="1" applyBorder="1" applyAlignment="1">
      <alignment horizontal="center" vertical="center"/>
    </xf>
    <xf numFmtId="300" fontId="9" fillId="3" borderId="9" xfId="43" applyNumberFormat="1" applyFont="1" applyFill="1" applyBorder="1" applyAlignment="1">
      <alignment vertical="center"/>
    </xf>
    <xf numFmtId="2" fontId="10" fillId="6" borderId="10" xfId="43" applyNumberFormat="1" applyFont="1" applyFill="1" applyBorder="1" applyAlignment="1">
      <alignment horizontal="right" vertical="center"/>
    </xf>
    <xf numFmtId="300" fontId="11" fillId="8" borderId="9" xfId="43" applyNumberFormat="1" applyFont="1" applyFill="1" applyBorder="1" applyAlignment="1">
      <alignment vertical="center"/>
    </xf>
    <xf numFmtId="301" fontId="9" fillId="9" borderId="11" xfId="43" applyFont="1" applyBorder="1" applyAlignment="1">
      <alignment horizontal="center" vertical="center"/>
    </xf>
    <xf numFmtId="301" fontId="9" fillId="9" borderId="11" xfId="43" applyFont="1" applyBorder="1" applyAlignment="1">
      <alignment horizontal="left" vertical="center"/>
    </xf>
    <xf numFmtId="300" fontId="9" fillId="9" borderId="11" xfId="43" applyNumberFormat="1" applyFont="1" applyBorder="1" applyAlignment="1">
      <alignment vertical="center"/>
    </xf>
    <xf numFmtId="300" fontId="9" fillId="9" borderId="11" xfId="43" applyNumberFormat="1" applyFont="1" applyBorder="1" applyAlignment="1">
      <alignment horizontal="center" vertical="center"/>
    </xf>
    <xf numFmtId="300" fontId="9" fillId="3" borderId="11" xfId="43" applyNumberFormat="1" applyFont="1" applyFill="1" applyBorder="1" applyAlignment="1">
      <alignment vertical="center"/>
    </xf>
    <xf numFmtId="2" fontId="10" fillId="6" borderId="12" xfId="43" applyNumberFormat="1" applyFont="1" applyFill="1" applyBorder="1" applyAlignment="1">
      <alignment horizontal="right" vertical="center"/>
    </xf>
    <xf numFmtId="300" fontId="11" fillId="8" borderId="11" xfId="43" applyNumberFormat="1" applyFont="1" applyFill="1" applyBorder="1" applyAlignment="1">
      <alignment vertical="center"/>
    </xf>
    <xf numFmtId="301" fontId="12" fillId="9" borderId="24" xfId="43" applyFont="1" applyAlignment="1">
      <alignment vertical="center"/>
    </xf>
    <xf numFmtId="300" fontId="9" fillId="9" borderId="7" xfId="43" applyNumberFormat="1" applyFont="1" applyBorder="1" applyAlignment="1">
      <alignment horizontal="right" vertical="center"/>
    </xf>
    <xf numFmtId="301" fontId="9" fillId="9" borderId="7" xfId="43" applyFont="1" applyBorder="1" applyAlignment="1">
      <alignment vertical="center" wrapText="1"/>
    </xf>
    <xf numFmtId="301" fontId="13" fillId="9" borderId="7" xfId="43" applyFont="1" applyBorder="1" applyAlignment="1">
      <alignment vertical="center"/>
    </xf>
    <xf numFmtId="300" fontId="9" fillId="9" borderId="9" xfId="43" applyNumberFormat="1" applyFont="1" applyBorder="1" applyAlignment="1">
      <alignment horizontal="right" vertical="center"/>
    </xf>
    <xf numFmtId="301" fontId="9" fillId="9" borderId="9" xfId="43" applyFont="1" applyBorder="1" applyAlignment="1">
      <alignment vertical="center" wrapText="1"/>
    </xf>
    <xf numFmtId="301" fontId="13" fillId="9" borderId="9" xfId="43" applyFont="1" applyBorder="1" applyAlignment="1">
      <alignment vertical="center"/>
    </xf>
    <xf numFmtId="300" fontId="9" fillId="9" borderId="11" xfId="43" applyNumberFormat="1" applyFont="1" applyBorder="1" applyAlignment="1">
      <alignment horizontal="right" vertical="center"/>
    </xf>
    <xf numFmtId="301" fontId="9" fillId="9" borderId="11" xfId="43" applyFont="1" applyBorder="1" applyAlignment="1">
      <alignment vertical="center" wrapText="1"/>
    </xf>
    <xf numFmtId="301" fontId="13" fillId="9" borderId="11" xfId="43" applyFont="1" applyBorder="1" applyAlignment="1">
      <alignment vertical="center"/>
    </xf>
    <xf numFmtId="301" fontId="14" fillId="3" borderId="13" xfId="43" applyFont="1" applyFill="1" applyBorder="1" applyAlignment="1">
      <alignment horizontal="left" vertical="center"/>
    </xf>
    <xf numFmtId="301" fontId="15" fillId="9" borderId="14" xfId="43" applyFont="1" applyBorder="1" applyAlignment="1">
      <alignment vertical="center" wrapText="1"/>
    </xf>
    <xf numFmtId="301" fontId="15" fillId="9" borderId="15" xfId="43" applyFont="1" applyBorder="1" applyAlignment="1">
      <alignment vertical="center" wrapText="1"/>
    </xf>
    <xf numFmtId="301" fontId="15" fillId="9" borderId="16" xfId="43" applyFont="1" applyBorder="1" applyAlignment="1">
      <alignment vertical="center" wrapText="1"/>
    </xf>
    <xf numFmtId="301" fontId="14" fillId="3" borderId="17" xfId="43" applyFont="1" applyFill="1" applyBorder="1" applyAlignment="1">
      <alignment horizontal="left" vertical="center"/>
    </xf>
    <xf numFmtId="301" fontId="15" fillId="9" borderId="18" xfId="43" applyFont="1" applyBorder="1" applyAlignment="1">
      <alignment vertical="center" wrapText="1"/>
    </xf>
    <xf numFmtId="301" fontId="15" fillId="9" borderId="24" xfId="43" applyFont="1" applyAlignment="1">
      <alignment vertical="center" wrapText="1"/>
    </xf>
    <xf numFmtId="301" fontId="15" fillId="9" borderId="19" xfId="43" applyFont="1" applyBorder="1" applyAlignment="1">
      <alignment vertical="center" wrapText="1"/>
    </xf>
    <xf numFmtId="301" fontId="16" fillId="9" borderId="18" xfId="43" applyFont="1" applyBorder="1" applyAlignment="1">
      <alignment vertical="center" wrapText="1"/>
    </xf>
    <xf numFmtId="301" fontId="16" fillId="9" borderId="24" xfId="43" applyFont="1" applyAlignment="1">
      <alignment vertical="center" wrapText="1"/>
    </xf>
    <xf numFmtId="301" fontId="16" fillId="9" borderId="19" xfId="43" applyFont="1" applyBorder="1" applyAlignment="1">
      <alignment vertical="center" wrapText="1"/>
    </xf>
    <xf numFmtId="301" fontId="14" fillId="3" borderId="20" xfId="43" applyFont="1" applyFill="1" applyBorder="1" applyAlignment="1">
      <alignment horizontal="left" vertical="center"/>
    </xf>
    <xf numFmtId="301" fontId="16" fillId="9" borderId="21" xfId="43" applyFont="1" applyBorder="1" applyAlignment="1">
      <alignment vertical="center" wrapText="1"/>
    </xf>
    <xf numFmtId="301" fontId="16" fillId="9" borderId="22" xfId="43" applyFont="1" applyBorder="1" applyAlignment="1">
      <alignment vertical="center" wrapText="1"/>
    </xf>
    <xf numFmtId="301" fontId="16" fillId="9" borderId="23" xfId="43" applyFont="1" applyBorder="1" applyAlignment="1">
      <alignment vertical="center" wrapText="1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Normal" xfId="43"/>
    <cellStyle name="40% - 强调文字颜色 5" xfId="44" builtinId="47"/>
    <cellStyle name="60% - 强调文字颜色 5" xfId="45" builtinId="48"/>
    <cellStyle name="强调文字颜色 6" xfId="46" builtinId="49"/>
    <cellStyle name="20% - 强调文字颜色 6" xfId="47" builtinId="50"/>
    <cellStyle name="40% - 强调文字颜色 6" xfId="48" builtinId="51"/>
    <cellStyle name="60% - 强调文字颜色 6" xfId="49" builtinId="52"/>
  </cellStyles>
  <dxfs count="6">
    <dxf>
      <font>
        <b val="1"/>
        <color rgb="FF7F6000"/>
      </font>
      <fill>
        <patternFill patternType="solid">
          <bgColor rgb="FFFFD966"/>
        </patternFill>
      </fill>
    </dxf>
    <dxf>
      <font>
        <b val="1"/>
        <color rgb="FF17324D"/>
      </font>
      <fill>
        <patternFill patternType="solid">
          <bgColor rgb="FFD9E1F2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C00000"/>
      </font>
    </dxf>
    <dxf>
      <font>
        <b val="1"/>
        <color rgb="FFC00000"/>
      </font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ables/table1.xml><?xml version="1.0" encoding="utf-8"?>
<table xmlns="http://schemas.openxmlformats.org/spreadsheetml/2006/main" id="1" name="CombinedRankingTable" displayName="CombinedRankingTable" ref="A6:I70" headerRowCount="1" totalsRowCount="0" totalsRowShown="0">
  <autoFilter ref="A6:I70"/>
  <sortState ref="A7:I70">
    <sortCondition descending="1" ref="I6"/>
  </sortState>
  <tableColumns count="9">
    <tableColumn id="1" name="当前名次"/>
    <tableColumn id="2" name="学校"/>
    <tableColumn id="3" name="东风名次"/>
    <tableColumn id="4" name="东风分数"/>
    <tableColumn id="5" name="半庄名次"/>
    <tableColumn id="6" name="半庄分数"/>
    <tableColumn id="7" name="原始总分"/>
    <tableColumn id="8" name="扣分"/>
    <tableColumn id="9" name="扣分后总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astRankingTable" displayName="EastRankingTable" ref="A4:H68" headerRowCount="1" totalsRowCount="0" totalsRowShown="0">
  <autoFilter ref="A4:H68"/>
  <tableColumns count="8">
    <tableColumn id="1" name="名次"/>
    <tableColumn id="2" name="学校"/>
    <tableColumn id="3" name="分数"/>
    <tableColumn id="4" name="额外"/>
    <tableColumn id="5" name="明细得分"/>
    <tableColumn id="6" name="选手 / 顺位 / 点数"/>
    <tableColumn id="7" name="状态"/>
    <tableColumn id="8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anchanRankingTable" displayName="HanchanRankingTable" ref="A4:H68" headerRowCount="1" totalsRowCount="0" totalsRowShown="0">
  <autoFilter ref="A4:H68"/>
  <tableColumns count="8">
    <tableColumn id="1" name="名次"/>
    <tableColumn id="2" name="学校"/>
    <tableColumn id="3" name="分数"/>
    <tableColumn id="4" name="额外"/>
    <tableColumn id="5" name="明细得分"/>
    <tableColumn id="6" name="选手 / 顺位 / 点数"/>
    <tableColumn id="7" name="状态"/>
    <tableColumn id="8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3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I70"/>
  <sheetViews>
    <sheetView showGridLines="0" tabSelected="1" workbookViewId="0"/>
  </sheetViews>
  <sheetFormatPr defaultColWidth="9" defaultRowHeight="14"/>
  <cols>
    <col min="1" max="1" width="11" customWidth="1"/>
    <col min="2" max="2" width="22" customWidth="1"/>
    <col min="3" max="3" width="11" customWidth="1"/>
    <col min="4" max="4" width="13" customWidth="1"/>
    <col min="5" max="5" width="11" customWidth="1"/>
    <col min="6" max="6" width="13" customWidth="1"/>
    <col min="7" max="7" width="14" customWidth="1"/>
    <col min="8" max="8" width="12" customWidth="1"/>
    <col min="9" max="9" width="15" customWidth="1"/>
  </cols>
  <sheetData>
    <row r="1" spans="1:9" ht="32" customHeight="1">
      <c r="A1" s="4" t="s">
        <v>1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</row>
    <row r="2" spans="1:9">
      <c r="A2" s="5" t="s">
        <v>2</v>
      </c>
      <c r="B2" s="5" t="s"/>
      <c r="C2" s="5" t="s"/>
      <c r="D2" s="5" t="s"/>
      <c r="E2" s="5" t="s"/>
      <c r="F2" s="5" t="s"/>
      <c r="G2" s="5" t="s"/>
      <c r="H2" s="5" t="s"/>
      <c r="I2" s="5" t="s"/>
    </row>
    <row r="4" spans="1:9" ht="28" customHeight="1">
      <c r="A4" s="6" t="s">
        <v>3</v>
      </c>
      <c r="B4" s="7">
        <f>=COUNTA(B7:B70)</f>
        <v>64</v>
      </c>
      <c r="C4" s="6" t="s">
        <v>4</v>
      </c>
      <c r="D4" s="8">
        <f>=MAX(D7:D70)</f>
        <v>150.3</v>
      </c>
      <c r="E4" s="9" t="s">
        <v>5</v>
      </c>
      <c r="F4" s="8">
        <f>=MAX(F7:F70)</f>
        <v>220.8</v>
      </c>
      <c r="G4" s="6" t="s">
        <v>6</v>
      </c>
      <c r="H4" s="10" t="s">
        <f>=INDEX(B7:B70,MATCH(MAX(I7:I70),I7:I70,0))</f>
        <v>7</v>
      </c>
      <c r="I4" s="11" t="s"/>
    </row>
    <row r="5" spans="1:9">
      <c r="A5" s="12" t="s">
        <v>8</v>
      </c>
      <c r="B5" s="12" t="s"/>
      <c r="C5" s="12" t="s"/>
      <c r="D5" s="12" t="s"/>
      <c r="E5" s="12" t="s"/>
      <c r="F5" s="12" t="s"/>
      <c r="G5" s="12" t="s"/>
      <c r="H5" s="12" t="s"/>
      <c r="I5" s="12" t="s"/>
    </row>
    <row r="6" spans="1:9" ht="30" customHeight="1">
      <c r="A6" s="13" t="s">
        <v>9</v>
      </c>
      <c r="B6" s="14" t="s">
        <v>10</v>
      </c>
      <c r="C6" s="14" t="s">
        <v>11</v>
      </c>
      <c r="D6" s="14" t="s">
        <v>12</v>
      </c>
      <c r="E6" s="14" t="s">
        <v>13</v>
      </c>
      <c r="F6" s="14" t="s">
        <v>14</v>
      </c>
      <c r="G6" s="14" t="s">
        <v>15</v>
      </c>
      <c r="H6" s="14" t="s">
        <v>16</v>
      </c>
      <c r="I6" s="15" t="s">
        <v>17</v>
      </c>
    </row>
    <row r="7" spans="1:9" ht="23" customHeight="1">
      <c r="A7" s="16">
        <f>=_xlfn.RANK.EQ(I7,$I$7:$I$70,0)</f>
        <v>1</v>
      </c>
      <c r="B7" s="17" t="s">
        <v>7</v>
      </c>
      <c r="C7" s="16">
        <f>=INDEX(东风赛道!$A$5:$A$68,MATCH(B7,东风赛道!$B$5:$B$68,0))</f>
        <v>6</v>
      </c>
      <c r="D7" s="18">
        <f>=INDEX(东风赛道!$C$5:$C$68,MATCH(B7,东风赛道!$B$5:$B$68,0))</f>
        <v>85.9</v>
      </c>
      <c r="E7" s="19">
        <f>=INDEX(半庄赛道!$A$5:$A$68,MATCH(B7,半庄赛道!$B$5:$B$68,0))</f>
        <v>3</v>
      </c>
      <c r="F7" s="18">
        <f>=INDEX(半庄赛道!$C$5:$C$68,MATCH(B7,半庄赛道!$B$5:$B$68,0))</f>
        <v>212.7</v>
      </c>
      <c r="G7" s="20">
        <f>=D7+F7</f>
        <v>298.6</v>
      </c>
      <c r="H7" s="21">
        <v>0</v>
      </c>
      <c r="I7" s="22">
        <f>=G7-H7</f>
        <v>298.6</v>
      </c>
    </row>
    <row r="8" spans="1:9" ht="23" customHeight="1">
      <c r="A8" s="23">
        <f>=_xlfn.RANK.EQ(I8,$I$7:$I$70,0)</f>
        <v>2</v>
      </c>
      <c r="B8" s="24" t="s">
        <v>18</v>
      </c>
      <c r="C8" s="23">
        <f>=INDEX(东风赛道!$A$5:$A$68,MATCH(B8,东风赛道!$B$5:$B$68,0))</f>
        <v>16</v>
      </c>
      <c r="D8" s="25">
        <f>=INDEX(东风赛道!$C$5:$C$68,MATCH(B8,东风赛道!$B$5:$B$68,0))</f>
        <v>49.4</v>
      </c>
      <c r="E8" s="26">
        <f>=INDEX(半庄赛道!$A$5:$A$68,MATCH(B8,半庄赛道!$B$5:$B$68,0))</f>
        <v>1</v>
      </c>
      <c r="F8" s="25">
        <f>=INDEX(半庄赛道!$C$5:$C$68,MATCH(B8,半庄赛道!$B$5:$B$68,0))</f>
        <v>220.8</v>
      </c>
      <c r="G8" s="27">
        <f>=D8+F8</f>
        <v>270.2</v>
      </c>
      <c r="H8" s="28">
        <v>0</v>
      </c>
      <c r="I8" s="29">
        <f>=G8-H8</f>
        <v>270.2</v>
      </c>
    </row>
    <row r="9" spans="1:9" ht="23" customHeight="1">
      <c r="A9" s="23">
        <f>=_xlfn.RANK.EQ(I9,$I$7:$I$70,0)</f>
        <v>3</v>
      </c>
      <c r="B9" s="24" t="s">
        <v>19</v>
      </c>
      <c r="C9" s="23">
        <f>=INDEX(东风赛道!$A$5:$A$68,MATCH(B9,东风赛道!$B$5:$B$68,0))</f>
        <v>14</v>
      </c>
      <c r="D9" s="25">
        <f>=INDEX(东风赛道!$C$5:$C$68,MATCH(B9,东风赛道!$B$5:$B$68,0))</f>
        <v>64.1</v>
      </c>
      <c r="E9" s="26">
        <f>=INDEX(半庄赛道!$A$5:$A$68,MATCH(B9,半庄赛道!$B$5:$B$68,0))</f>
        <v>4</v>
      </c>
      <c r="F9" s="25">
        <f>=INDEX(半庄赛道!$C$5:$C$68,MATCH(B9,半庄赛道!$B$5:$B$68,0))</f>
        <v>189.5</v>
      </c>
      <c r="G9" s="27">
        <f>=D9+F9</f>
        <v>253.6</v>
      </c>
      <c r="H9" s="28">
        <v>0</v>
      </c>
      <c r="I9" s="29">
        <f>=G9-H9</f>
        <v>253.6</v>
      </c>
    </row>
    <row r="10" spans="1:9" ht="23" customHeight="1">
      <c r="A10" s="23">
        <f>=_xlfn.RANK.EQ(I10,$I$7:$I$70,0)</f>
        <v>4</v>
      </c>
      <c r="B10" s="24" t="s">
        <v>20</v>
      </c>
      <c r="C10" s="23">
        <f>=INDEX(东风赛道!$A$5:$A$68,MATCH(B10,东风赛道!$B$5:$B$68,0))</f>
        <v>22</v>
      </c>
      <c r="D10" s="25">
        <f>=INDEX(东风赛道!$C$5:$C$68,MATCH(B10,东风赛道!$B$5:$B$68,0))</f>
        <v>23.7</v>
      </c>
      <c r="E10" s="26">
        <f>=INDEX(半庄赛道!$A$5:$A$68,MATCH(B10,半庄赛道!$B$5:$B$68,0))</f>
        <v>2</v>
      </c>
      <c r="F10" s="25">
        <f>=INDEX(半庄赛道!$C$5:$C$68,MATCH(B10,半庄赛道!$B$5:$B$68,0))</f>
        <v>213.9</v>
      </c>
      <c r="G10" s="27">
        <f>=D10+F10</f>
        <v>237.6</v>
      </c>
      <c r="H10" s="28">
        <v>0</v>
      </c>
      <c r="I10" s="29">
        <f>=G10-H10</f>
        <v>237.6</v>
      </c>
    </row>
    <row r="11" spans="1:9" ht="23" customHeight="1">
      <c r="A11" s="23">
        <f>=_xlfn.RANK.EQ(I11,$I$7:$I$70,0)</f>
        <v>5</v>
      </c>
      <c r="B11" s="24" t="s">
        <v>21</v>
      </c>
      <c r="C11" s="23">
        <f>=INDEX(东风赛道!$A$5:$A$68,MATCH(B11,东风赛道!$B$5:$B$68,0))</f>
        <v>5</v>
      </c>
      <c r="D11" s="25">
        <f>=INDEX(东风赛道!$C$5:$C$68,MATCH(B11,东风赛道!$B$5:$B$68,0))</f>
        <v>92.9</v>
      </c>
      <c r="E11" s="26">
        <f>=INDEX(半庄赛道!$A$5:$A$68,MATCH(B11,半庄赛道!$B$5:$B$68,0))</f>
        <v>6</v>
      </c>
      <c r="F11" s="25">
        <f>=INDEX(半庄赛道!$C$5:$C$68,MATCH(B11,半庄赛道!$B$5:$B$68,0))</f>
        <v>137.6</v>
      </c>
      <c r="G11" s="27">
        <f>=D11+F11</f>
        <v>230.5</v>
      </c>
      <c r="H11" s="28">
        <v>0</v>
      </c>
      <c r="I11" s="29">
        <f>=G11-H11</f>
        <v>230.5</v>
      </c>
    </row>
    <row r="12" spans="1:9" ht="23" customHeight="1">
      <c r="A12" s="23">
        <f>=_xlfn.RANK.EQ(I12,$I$7:$I$70,0)</f>
        <v>6</v>
      </c>
      <c r="B12" s="24" t="s">
        <v>22</v>
      </c>
      <c r="C12" s="23">
        <f>=INDEX(东风赛道!$A$5:$A$68,MATCH(B12,东风赛道!$B$5:$B$68,0))</f>
        <v>2</v>
      </c>
      <c r="D12" s="25">
        <f>=INDEX(东风赛道!$C$5:$C$68,MATCH(B12,东风赛道!$B$5:$B$68,0))</f>
        <v>111.1</v>
      </c>
      <c r="E12" s="26">
        <f>=INDEX(半庄赛道!$A$5:$A$68,MATCH(B12,半庄赛道!$B$5:$B$68,0))</f>
        <v>17</v>
      </c>
      <c r="F12" s="25">
        <f>=INDEX(半庄赛道!$C$5:$C$68,MATCH(B12,半庄赛道!$B$5:$B$68,0))</f>
        <v>70.3</v>
      </c>
      <c r="G12" s="27">
        <f>=D12+F12</f>
        <v>181.4</v>
      </c>
      <c r="H12" s="28">
        <v>0</v>
      </c>
      <c r="I12" s="29">
        <f>=G12-H12</f>
        <v>181.4</v>
      </c>
    </row>
    <row r="13" spans="1:9" ht="23" customHeight="1">
      <c r="A13" s="23">
        <f>=_xlfn.RANK.EQ(I13,$I$7:$I$70,0)</f>
        <v>7</v>
      </c>
      <c r="B13" s="24" t="s">
        <v>23</v>
      </c>
      <c r="C13" s="23">
        <f>=INDEX(东风赛道!$A$5:$A$68,MATCH(B13,东风赛道!$B$5:$B$68,0))</f>
        <v>29</v>
      </c>
      <c r="D13" s="25">
        <f>=INDEX(东风赛道!$C$5:$C$68,MATCH(B13,东风赛道!$B$5:$B$68,0))</f>
        <v>12.4</v>
      </c>
      <c r="E13" s="26">
        <f>=INDEX(半庄赛道!$A$5:$A$68,MATCH(B13,半庄赛道!$B$5:$B$68,0))</f>
        <v>7</v>
      </c>
      <c r="F13" s="25">
        <f>=INDEX(半庄赛道!$C$5:$C$68,MATCH(B13,半庄赛道!$B$5:$B$68,0))</f>
        <v>136.7</v>
      </c>
      <c r="G13" s="27">
        <f>=D13+F13</f>
        <v>149.1</v>
      </c>
      <c r="H13" s="28">
        <v>0</v>
      </c>
      <c r="I13" s="29">
        <f>=G13-H13</f>
        <v>149.1</v>
      </c>
    </row>
    <row r="14" spans="1:9" ht="23" customHeight="1">
      <c r="A14" s="23">
        <f>=_xlfn.RANK.EQ(I14,$I$7:$I$70,0)</f>
        <v>8</v>
      </c>
      <c r="B14" s="24" t="s">
        <v>24</v>
      </c>
      <c r="C14" s="23">
        <f>=INDEX(东风赛道!$A$5:$A$68,MATCH(B14,东风赛道!$B$5:$B$68,0))</f>
        <v>4</v>
      </c>
      <c r="D14" s="25">
        <f>=INDEX(东风赛道!$C$5:$C$68,MATCH(B14,东风赛道!$B$5:$B$68,0))</f>
        <v>104.4</v>
      </c>
      <c r="E14" s="26">
        <f>=INDEX(半庄赛道!$A$5:$A$68,MATCH(B14,半庄赛道!$B$5:$B$68,0))</f>
        <v>24</v>
      </c>
      <c r="F14" s="25">
        <f>=INDEX(半庄赛道!$C$5:$C$68,MATCH(B14,半庄赛道!$B$5:$B$68,0))</f>
        <v>25.5</v>
      </c>
      <c r="G14" s="27">
        <f>=D14+F14</f>
        <v>129.9</v>
      </c>
      <c r="H14" s="28">
        <v>0</v>
      </c>
      <c r="I14" s="29">
        <f>=G14-H14</f>
        <v>129.9</v>
      </c>
    </row>
    <row r="15" spans="1:9" ht="23" customHeight="1">
      <c r="A15" s="23">
        <f>=_xlfn.RANK.EQ(I15,$I$7:$I$70,0)</f>
        <v>9</v>
      </c>
      <c r="B15" s="24" t="s">
        <v>25</v>
      </c>
      <c r="C15" s="23">
        <f>=INDEX(东风赛道!$A$5:$A$68,MATCH(B15,东风赛道!$B$5:$B$68,0))</f>
        <v>28</v>
      </c>
      <c r="D15" s="25">
        <f>=INDEX(东风赛道!$C$5:$C$68,MATCH(B15,东风赛道!$B$5:$B$68,0))</f>
        <v>14.1</v>
      </c>
      <c r="E15" s="26">
        <f>=INDEX(半庄赛道!$A$5:$A$68,MATCH(B15,半庄赛道!$B$5:$B$68,0))</f>
        <v>12</v>
      </c>
      <c r="F15" s="25">
        <f>=INDEX(半庄赛道!$C$5:$C$68,MATCH(B15,半庄赛道!$B$5:$B$68,0))</f>
        <v>115.4</v>
      </c>
      <c r="G15" s="27">
        <f>=D15+F15</f>
        <v>129.5</v>
      </c>
      <c r="H15" s="28">
        <v>0</v>
      </c>
      <c r="I15" s="29">
        <f>=G15-H15</f>
        <v>129.5</v>
      </c>
    </row>
    <row r="16" spans="1:9" ht="23" customHeight="1">
      <c r="A16" s="23">
        <f>=_xlfn.RANK.EQ(I16,$I$7:$I$70,0)</f>
        <v>10</v>
      </c>
      <c r="B16" s="24" t="s">
        <v>26</v>
      </c>
      <c r="C16" s="23">
        <f>=INDEX(东风赛道!$A$5:$A$68,MATCH(B16,东风赛道!$B$5:$B$68,0))</f>
        <v>17</v>
      </c>
      <c r="D16" s="25">
        <f>=INDEX(东风赛道!$C$5:$C$68,MATCH(B16,东风赛道!$B$5:$B$68,0))</f>
        <v>49.1</v>
      </c>
      <c r="E16" s="26">
        <f>=INDEX(半庄赛道!$A$5:$A$68,MATCH(B16,半庄赛道!$B$5:$B$68,0))</f>
        <v>16</v>
      </c>
      <c r="F16" s="25">
        <f>=INDEX(半庄赛道!$C$5:$C$68,MATCH(B16,半庄赛道!$B$5:$B$68,0))</f>
        <v>75</v>
      </c>
      <c r="G16" s="27">
        <f>=D16+F16</f>
        <v>124.1</v>
      </c>
      <c r="H16" s="28">
        <v>0</v>
      </c>
      <c r="I16" s="29">
        <f>=G16-H16</f>
        <v>124.1</v>
      </c>
    </row>
    <row r="17" spans="1:9" ht="23" customHeight="1">
      <c r="A17" s="23">
        <f>=_xlfn.RANK.EQ(I17,$I$7:$I$70,0)</f>
        <v>11</v>
      </c>
      <c r="B17" s="24" t="s">
        <v>27</v>
      </c>
      <c r="C17" s="23">
        <f>=INDEX(东风赛道!$A$5:$A$68,MATCH(B17,东风赛道!$B$5:$B$68,0))</f>
        <v>15</v>
      </c>
      <c r="D17" s="25">
        <f>=INDEX(东风赛道!$C$5:$C$68,MATCH(B17,东风赛道!$B$5:$B$68,0))</f>
        <v>60.3</v>
      </c>
      <c r="E17" s="26">
        <f>=INDEX(半庄赛道!$A$5:$A$68,MATCH(B17,半庄赛道!$B$5:$B$68,0))</f>
        <v>20</v>
      </c>
      <c r="F17" s="25">
        <f>=INDEX(半庄赛道!$C$5:$C$68,MATCH(B17,半庄赛道!$B$5:$B$68,0))</f>
        <v>61.2</v>
      </c>
      <c r="G17" s="27">
        <f>=D17+F17</f>
        <v>121.5</v>
      </c>
      <c r="H17" s="28">
        <v>0</v>
      </c>
      <c r="I17" s="29">
        <f>=G17-H17</f>
        <v>121.5</v>
      </c>
    </row>
    <row r="18" spans="1:9" ht="23" customHeight="1">
      <c r="A18" s="23">
        <f>=_xlfn.RANK.EQ(I18,$I$7:$I$70,0)</f>
        <v>12</v>
      </c>
      <c r="B18" s="24" t="s">
        <v>28</v>
      </c>
      <c r="C18" s="23">
        <f>=INDEX(东风赛道!$A$5:$A$68,MATCH(B18,东风赛道!$B$5:$B$68,0))</f>
        <v>35</v>
      </c>
      <c r="D18" s="25">
        <f>=INDEX(东风赛道!$C$5:$C$68,MATCH(B18,东风赛道!$B$5:$B$68,0))</f>
        <v>-12.9</v>
      </c>
      <c r="E18" s="26">
        <f>=INDEX(半庄赛道!$A$5:$A$68,MATCH(B18,半庄赛道!$B$5:$B$68,0))</f>
        <v>10</v>
      </c>
      <c r="F18" s="25">
        <f>=INDEX(半庄赛道!$C$5:$C$68,MATCH(B18,半庄赛道!$B$5:$B$68,0))</f>
        <v>123.9</v>
      </c>
      <c r="G18" s="27">
        <f>=D18+F18</f>
        <v>111</v>
      </c>
      <c r="H18" s="28">
        <v>0</v>
      </c>
      <c r="I18" s="29">
        <f>=G18-H18</f>
        <v>111</v>
      </c>
    </row>
    <row r="19" spans="1:9" ht="23" customHeight="1">
      <c r="A19" s="23">
        <f>=_xlfn.RANK.EQ(I19,$I$7:$I$70,0)</f>
        <v>13</v>
      </c>
      <c r="B19" s="24" t="s">
        <v>29</v>
      </c>
      <c r="C19" s="23">
        <f>=INDEX(东风赛道!$A$5:$A$68,MATCH(B19,东风赛道!$B$5:$B$68,0))</f>
        <v>46</v>
      </c>
      <c r="D19" s="25">
        <f>=INDEX(东风赛道!$C$5:$C$68,MATCH(B19,东风赛道!$B$5:$B$68,0))</f>
        <v>-26.3</v>
      </c>
      <c r="E19" s="26">
        <f>=INDEX(半庄赛道!$A$5:$A$68,MATCH(B19,半庄赛道!$B$5:$B$68,0))</f>
        <v>8</v>
      </c>
      <c r="F19" s="25">
        <f>=INDEX(半庄赛道!$C$5:$C$68,MATCH(B19,半庄赛道!$B$5:$B$68,0))</f>
        <v>134.3</v>
      </c>
      <c r="G19" s="27">
        <f>=D19+F19</f>
        <v>108</v>
      </c>
      <c r="H19" s="28">
        <v>0</v>
      </c>
      <c r="I19" s="29">
        <f>=G19-H19</f>
        <v>108</v>
      </c>
    </row>
    <row r="20" spans="1:9" ht="23" customHeight="1">
      <c r="A20" s="23">
        <f>=_xlfn.RANK.EQ(I20,$I$7:$I$70,0)</f>
        <v>14</v>
      </c>
      <c r="B20" s="24" t="s">
        <v>30</v>
      </c>
      <c r="C20" s="23">
        <f>=INDEX(东风赛道!$A$5:$A$68,MATCH(B20,东风赛道!$B$5:$B$68,0))</f>
        <v>40</v>
      </c>
      <c r="D20" s="25">
        <f>=INDEX(东风赛道!$C$5:$C$68,MATCH(B20,东风赛道!$B$5:$B$68,0))</f>
        <v>-18.7</v>
      </c>
      <c r="E20" s="26">
        <f>=INDEX(半庄赛道!$A$5:$A$68,MATCH(B20,半庄赛道!$B$5:$B$68,0))</f>
        <v>9</v>
      </c>
      <c r="F20" s="25">
        <f>=INDEX(半庄赛道!$C$5:$C$68,MATCH(B20,半庄赛道!$B$5:$B$68,0))</f>
        <v>125.9</v>
      </c>
      <c r="G20" s="27">
        <f>=D20+F20</f>
        <v>107.2</v>
      </c>
      <c r="H20" s="28">
        <v>0</v>
      </c>
      <c r="I20" s="29">
        <f>=G20-H20</f>
        <v>107.2</v>
      </c>
    </row>
    <row r="21" spans="1:9" ht="23" customHeight="1">
      <c r="A21" s="23">
        <f>=_xlfn.RANK.EQ(I21,$I$7:$I$70,0)</f>
        <v>15</v>
      </c>
      <c r="B21" s="24" t="s">
        <v>31</v>
      </c>
      <c r="C21" s="23">
        <f>=INDEX(东风赛道!$A$5:$A$68,MATCH(B21,东风赛道!$B$5:$B$68,0))</f>
        <v>10</v>
      </c>
      <c r="D21" s="25">
        <f>=INDEX(东风赛道!$C$5:$C$68,MATCH(B21,东风赛道!$B$5:$B$68,0))</f>
        <v>71.1</v>
      </c>
      <c r="E21" s="26">
        <f>=INDEX(半庄赛道!$A$5:$A$68,MATCH(B21,半庄赛道!$B$5:$B$68,0))</f>
        <v>23</v>
      </c>
      <c r="F21" s="25">
        <f>=INDEX(半庄赛道!$C$5:$C$68,MATCH(B21,半庄赛道!$B$5:$B$68,0))</f>
        <v>35.4</v>
      </c>
      <c r="G21" s="27">
        <f>=D21+F21</f>
        <v>106.5</v>
      </c>
      <c r="H21" s="28">
        <v>0</v>
      </c>
      <c r="I21" s="29">
        <f>=G21-H21</f>
        <v>106.5</v>
      </c>
    </row>
    <row r="22" spans="1:9" ht="23" customHeight="1">
      <c r="A22" s="23">
        <f>=_xlfn.RANK.EQ(I22,$I$7:$I$70,0)</f>
        <v>16</v>
      </c>
      <c r="B22" s="24" t="s">
        <v>32</v>
      </c>
      <c r="C22" s="23">
        <f>=INDEX(东风赛道!$A$5:$A$68,MATCH(B22,东风赛道!$B$5:$B$68,0))</f>
        <v>50</v>
      </c>
      <c r="D22" s="25">
        <f>=INDEX(东风赛道!$C$5:$C$68,MATCH(B22,东风赛道!$B$5:$B$68,0))</f>
        <v>-53.1</v>
      </c>
      <c r="E22" s="26">
        <f>=INDEX(半庄赛道!$A$5:$A$68,MATCH(B22,半庄赛道!$B$5:$B$68,0))</f>
        <v>5</v>
      </c>
      <c r="F22" s="25">
        <f>=INDEX(半庄赛道!$C$5:$C$68,MATCH(B22,半庄赛道!$B$5:$B$68,0))</f>
        <v>146.7</v>
      </c>
      <c r="G22" s="27">
        <f>=D22+F22</f>
        <v>93.6</v>
      </c>
      <c r="H22" s="28">
        <v>0</v>
      </c>
      <c r="I22" s="29">
        <f>=G22-H22</f>
        <v>93.6</v>
      </c>
    </row>
    <row r="23" spans="1:9" ht="23" customHeight="1">
      <c r="A23" s="23">
        <f>=_xlfn.RANK.EQ(I23,$I$7:$I$70,0)</f>
        <v>17</v>
      </c>
      <c r="B23" s="24" t="s">
        <v>33</v>
      </c>
      <c r="C23" s="23">
        <f>=INDEX(东风赛道!$A$5:$A$68,MATCH(B23,东风赛道!$B$5:$B$68,0))</f>
        <v>8</v>
      </c>
      <c r="D23" s="25">
        <f>=INDEX(东风赛道!$C$5:$C$68,MATCH(B23,东风赛道!$B$5:$B$68,0))</f>
        <v>83.2</v>
      </c>
      <c r="E23" s="26">
        <f>=INDEX(半庄赛道!$A$5:$A$68,MATCH(B23,半庄赛道!$B$5:$B$68,0))</f>
        <v>30</v>
      </c>
      <c r="F23" s="25">
        <f>=INDEX(半庄赛道!$C$5:$C$68,MATCH(B23,半庄赛道!$B$5:$B$68,0))</f>
        <v>6.5</v>
      </c>
      <c r="G23" s="27">
        <f>=D23+F23</f>
        <v>89.7</v>
      </c>
      <c r="H23" s="28">
        <v>0</v>
      </c>
      <c r="I23" s="29">
        <f>=G23-H23</f>
        <v>89.7</v>
      </c>
    </row>
    <row r="24" spans="1:9" ht="23" customHeight="1">
      <c r="A24" s="23">
        <f>=_xlfn.RANK.EQ(I24,$I$7:$I$70,0)</f>
        <v>18</v>
      </c>
      <c r="B24" s="24" t="s">
        <v>34</v>
      </c>
      <c r="C24" s="23">
        <f>=INDEX(东风赛道!$A$5:$A$68,MATCH(B24,东风赛道!$B$5:$B$68,0))</f>
        <v>9</v>
      </c>
      <c r="D24" s="25">
        <f>=INDEX(东风赛道!$C$5:$C$68,MATCH(B24,东风赛道!$B$5:$B$68,0))</f>
        <v>72.3</v>
      </c>
      <c r="E24" s="26">
        <f>=INDEX(半庄赛道!$A$5:$A$68,MATCH(B24,半庄赛道!$B$5:$B$68,0))</f>
        <v>28</v>
      </c>
      <c r="F24" s="25">
        <f>=INDEX(半庄赛道!$C$5:$C$68,MATCH(B24,半庄赛道!$B$5:$B$68,0))</f>
        <v>10.2</v>
      </c>
      <c r="G24" s="27">
        <f>=D24+F24</f>
        <v>82.5</v>
      </c>
      <c r="H24" s="28">
        <v>0</v>
      </c>
      <c r="I24" s="29">
        <f>=G24-H24</f>
        <v>82.5</v>
      </c>
    </row>
    <row r="25" spans="1:9" ht="23" customHeight="1">
      <c r="A25" s="23">
        <f>=_xlfn.RANK.EQ(I25,$I$7:$I$70,0)</f>
        <v>19</v>
      </c>
      <c r="B25" s="24" t="s">
        <v>35</v>
      </c>
      <c r="C25" s="23">
        <f>=INDEX(东风赛道!$A$5:$A$68,MATCH(B25,东风赛道!$B$5:$B$68,0))</f>
        <v>39</v>
      </c>
      <c r="D25" s="25">
        <f>=INDEX(东风赛道!$C$5:$C$68,MATCH(B25,东风赛道!$B$5:$B$68,0))</f>
        <v>-15.8</v>
      </c>
      <c r="E25" s="26">
        <f>=INDEX(半庄赛道!$A$5:$A$68,MATCH(B25,半庄赛道!$B$5:$B$68,0))</f>
        <v>13</v>
      </c>
      <c r="F25" s="25">
        <f>=INDEX(半庄赛道!$C$5:$C$68,MATCH(B25,半庄赛道!$B$5:$B$68,0))</f>
        <v>88.7</v>
      </c>
      <c r="G25" s="27">
        <f>=D25+F25</f>
        <v>72.9</v>
      </c>
      <c r="H25" s="28">
        <v>0</v>
      </c>
      <c r="I25" s="29">
        <f>=G25-H25</f>
        <v>72.9</v>
      </c>
    </row>
    <row r="26" spans="1:9" ht="23" customHeight="1">
      <c r="A26" s="23">
        <f>=_xlfn.RANK.EQ(I26,$I$7:$I$70,0)</f>
        <v>20</v>
      </c>
      <c r="B26" s="24" t="s">
        <v>36</v>
      </c>
      <c r="C26" s="23">
        <f>=INDEX(东风赛道!$A$5:$A$68,MATCH(B26,东风赛道!$B$5:$B$68,0))</f>
        <v>31</v>
      </c>
      <c r="D26" s="25">
        <f>=INDEX(东风赛道!$C$5:$C$68,MATCH(B26,东风赛道!$B$5:$B$68,0))</f>
        <v>6.6</v>
      </c>
      <c r="E26" s="26">
        <f>=INDEX(半庄赛道!$A$5:$A$68,MATCH(B26,半庄赛道!$B$5:$B$68,0))</f>
        <v>19</v>
      </c>
      <c r="F26" s="25">
        <f>=INDEX(半庄赛道!$C$5:$C$68,MATCH(B26,半庄赛道!$B$5:$B$68,0))</f>
        <v>64.4</v>
      </c>
      <c r="G26" s="27">
        <f>=D26+F26</f>
        <v>71</v>
      </c>
      <c r="H26" s="28">
        <v>0</v>
      </c>
      <c r="I26" s="29">
        <f>=G26-H26</f>
        <v>71</v>
      </c>
    </row>
    <row r="27" spans="1:9" ht="23" customHeight="1">
      <c r="A27" s="23">
        <f>=_xlfn.RANK.EQ(I27,$I$7:$I$70,0)</f>
        <v>21</v>
      </c>
      <c r="B27" s="24" t="s">
        <v>37</v>
      </c>
      <c r="C27" s="23">
        <f>=INDEX(东风赛道!$A$5:$A$68,MATCH(B27,东风赛道!$B$5:$B$68,0))</f>
        <v>36</v>
      </c>
      <c r="D27" s="25">
        <f>=INDEX(东风赛道!$C$5:$C$68,MATCH(B27,东风赛道!$B$5:$B$68,0))</f>
        <v>-13.6</v>
      </c>
      <c r="E27" s="26">
        <f>=INDEX(半庄赛道!$A$5:$A$68,MATCH(B27,半庄赛道!$B$5:$B$68,0))</f>
        <v>15</v>
      </c>
      <c r="F27" s="25">
        <f>=INDEX(半庄赛道!$C$5:$C$68,MATCH(B27,半庄赛道!$B$5:$B$68,0))</f>
        <v>76.8</v>
      </c>
      <c r="G27" s="27">
        <f>=D27+F27</f>
        <v>63.2</v>
      </c>
      <c r="H27" s="28">
        <v>0</v>
      </c>
      <c r="I27" s="29">
        <f>=G27-H27</f>
        <v>63.2</v>
      </c>
    </row>
    <row r="28" spans="1:9" ht="23" customHeight="1">
      <c r="A28" s="23">
        <f>=_xlfn.RANK.EQ(I28,$I$7:$I$70,0)</f>
        <v>22</v>
      </c>
      <c r="B28" s="24" t="s">
        <v>38</v>
      </c>
      <c r="C28" s="23">
        <f>=INDEX(东风赛道!$A$5:$A$68,MATCH(B28,东风赛道!$B$5:$B$68,0))</f>
        <v>3</v>
      </c>
      <c r="D28" s="25">
        <f>=INDEX(东风赛道!$C$5:$C$68,MATCH(B28,东风赛道!$B$5:$B$68,0))</f>
        <v>104.5</v>
      </c>
      <c r="E28" s="26">
        <f>=INDEX(半庄赛道!$A$5:$A$68,MATCH(B28,半庄赛道!$B$5:$B$68,0))</f>
        <v>41</v>
      </c>
      <c r="F28" s="25">
        <f>=INDEX(半庄赛道!$C$5:$C$68,MATCH(B28,半庄赛道!$B$5:$B$68,0))</f>
        <v>-43.1</v>
      </c>
      <c r="G28" s="27">
        <f>=D28+F28</f>
        <v>61.4</v>
      </c>
      <c r="H28" s="28">
        <v>0</v>
      </c>
      <c r="I28" s="29">
        <f>=G28-H28</f>
        <v>61.4</v>
      </c>
    </row>
    <row r="29" spans="1:9" ht="23" customHeight="1">
      <c r="A29" s="23">
        <f>=_xlfn.RANK.EQ(I29,$I$7:$I$70,0)</f>
        <v>23</v>
      </c>
      <c r="B29" s="24" t="s">
        <v>39</v>
      </c>
      <c r="C29" s="23">
        <f>=INDEX(东风赛道!$A$5:$A$68,MATCH(B29,东风赛道!$B$5:$B$68,0))</f>
        <v>12</v>
      </c>
      <c r="D29" s="25">
        <f>=INDEX(东风赛道!$C$5:$C$68,MATCH(B29,东风赛道!$B$5:$B$68,0))</f>
        <v>64.5</v>
      </c>
      <c r="E29" s="26">
        <f>=INDEX(半庄赛道!$A$5:$A$68,MATCH(B29,半庄赛道!$B$5:$B$68,0))</f>
        <v>38</v>
      </c>
      <c r="F29" s="25">
        <f>=INDEX(半庄赛道!$C$5:$C$68,MATCH(B29,半庄赛道!$B$5:$B$68,0))</f>
        <v>-22.7</v>
      </c>
      <c r="G29" s="27">
        <f>=D29+F29</f>
        <v>41.8</v>
      </c>
      <c r="H29" s="28">
        <v>0</v>
      </c>
      <c r="I29" s="29">
        <f>=G29-H29</f>
        <v>41.8</v>
      </c>
    </row>
    <row r="30" spans="1:9" ht="23" customHeight="1">
      <c r="A30" s="23">
        <f>=_xlfn.RANK.EQ(I30,$I$7:$I$70,0)</f>
        <v>24</v>
      </c>
      <c r="B30" s="24" t="s">
        <v>40</v>
      </c>
      <c r="C30" s="23">
        <f>=INDEX(东风赛道!$A$5:$A$68,MATCH(B30,东风赛道!$B$5:$B$68,0))</f>
        <v>19</v>
      </c>
      <c r="D30" s="25">
        <f>=INDEX(东风赛道!$C$5:$C$68,MATCH(B30,东风赛道!$B$5:$B$68,0))</f>
        <v>41.7</v>
      </c>
      <c r="E30" s="26">
        <f>=INDEX(半庄赛道!$A$5:$A$68,MATCH(B30,半庄赛道!$B$5:$B$68,0))</f>
        <v>33</v>
      </c>
      <c r="F30" s="25">
        <f>=INDEX(半庄赛道!$C$5:$C$68,MATCH(B30,半庄赛道!$B$5:$B$68,0))</f>
        <v>-5</v>
      </c>
      <c r="G30" s="27">
        <f>=D30+F30</f>
        <v>36.7</v>
      </c>
      <c r="H30" s="28">
        <v>0</v>
      </c>
      <c r="I30" s="29">
        <f>=G30-H30</f>
        <v>36.7</v>
      </c>
    </row>
    <row r="31" spans="1:9" ht="23" customHeight="1">
      <c r="A31" s="23">
        <f>=_xlfn.RANK.EQ(I31,$I$7:$I$70,0)</f>
        <v>25</v>
      </c>
      <c r="B31" s="24" t="s">
        <v>41</v>
      </c>
      <c r="C31" s="23">
        <f>=INDEX(东风赛道!$A$5:$A$68,MATCH(B31,东风赛道!$B$5:$B$68,0))</f>
        <v>44</v>
      </c>
      <c r="D31" s="25">
        <f>=INDEX(东风赛道!$C$5:$C$68,MATCH(B31,东风赛道!$B$5:$B$68,0))</f>
        <v>-23.7</v>
      </c>
      <c r="E31" s="26">
        <f>=INDEX(半庄赛道!$A$5:$A$68,MATCH(B31,半庄赛道!$B$5:$B$68,0))</f>
        <v>21</v>
      </c>
      <c r="F31" s="25">
        <f>=INDEX(半庄赛道!$C$5:$C$68,MATCH(B31,半庄赛道!$B$5:$B$68,0))</f>
        <v>53.2</v>
      </c>
      <c r="G31" s="27">
        <f>=D31+F31</f>
        <v>29.5</v>
      </c>
      <c r="H31" s="28">
        <v>0</v>
      </c>
      <c r="I31" s="29">
        <f>=G31-H31</f>
        <v>29.5</v>
      </c>
    </row>
    <row r="32" spans="1:9" ht="23" customHeight="1">
      <c r="A32" s="23">
        <f>=_xlfn.RANK.EQ(I32,$I$7:$I$70,0)</f>
        <v>26</v>
      </c>
      <c r="B32" s="24" t="s">
        <v>42</v>
      </c>
      <c r="C32" s="23">
        <f>=INDEX(东风赛道!$A$5:$A$68,MATCH(B32,东风赛道!$B$5:$B$68,0))</f>
        <v>53</v>
      </c>
      <c r="D32" s="25">
        <f>=INDEX(东风赛道!$C$5:$C$68,MATCH(B32,东风赛道!$B$5:$B$68,0))</f>
        <v>-60.2</v>
      </c>
      <c r="E32" s="26">
        <f>=INDEX(半庄赛道!$A$5:$A$68,MATCH(B32,半庄赛道!$B$5:$B$68,0))</f>
        <v>14</v>
      </c>
      <c r="F32" s="25">
        <f>=INDEX(半庄赛道!$C$5:$C$68,MATCH(B32,半庄赛道!$B$5:$B$68,0))</f>
        <v>85.4</v>
      </c>
      <c r="G32" s="27">
        <f>=D32+F32</f>
        <v>25.2</v>
      </c>
      <c r="H32" s="28">
        <v>0</v>
      </c>
      <c r="I32" s="29">
        <f>=G32-H32</f>
        <v>25.2</v>
      </c>
    </row>
    <row r="33" spans="1:9" ht="23" customHeight="1">
      <c r="A33" s="23">
        <f>=_xlfn.RANK.EQ(I33,$I$7:$I$70,0)</f>
        <v>27</v>
      </c>
      <c r="B33" s="24" t="s">
        <v>43</v>
      </c>
      <c r="C33" s="23">
        <f>=INDEX(东风赛道!$A$5:$A$68,MATCH(B33,东风赛道!$B$5:$B$68,0))</f>
        <v>1</v>
      </c>
      <c r="D33" s="25">
        <f>=INDEX(东风赛道!$C$5:$C$68,MATCH(B33,东风赛道!$B$5:$B$68,0))</f>
        <v>150.3</v>
      </c>
      <c r="E33" s="26">
        <f>=INDEX(半庄赛道!$A$5:$A$68,MATCH(B33,半庄赛道!$B$5:$B$68,0))</f>
        <v>58</v>
      </c>
      <c r="F33" s="25">
        <f>=INDEX(半庄赛道!$C$5:$C$68,MATCH(B33,半庄赛道!$B$5:$B$68,0))</f>
        <v>-128.3</v>
      </c>
      <c r="G33" s="27">
        <f>=D33+F33</f>
        <v>22</v>
      </c>
      <c r="H33" s="28">
        <v>0</v>
      </c>
      <c r="I33" s="29">
        <f>=G33-H33</f>
        <v>22</v>
      </c>
    </row>
    <row r="34" spans="1:9" ht="23" customHeight="1">
      <c r="A34" s="23">
        <f>=_xlfn.RANK.EQ(I34,$I$7:$I$70,0)</f>
        <v>28</v>
      </c>
      <c r="B34" s="24" t="s">
        <v>44</v>
      </c>
      <c r="C34" s="23">
        <f>=INDEX(东风赛道!$A$5:$A$68,MATCH(B34,东风赛道!$B$5:$B$68,0))</f>
        <v>61</v>
      </c>
      <c r="D34" s="25">
        <f>=INDEX(东风赛道!$C$5:$C$68,MATCH(B34,东风赛道!$B$5:$B$68,0))</f>
        <v>-102.5</v>
      </c>
      <c r="E34" s="26">
        <f>=INDEX(半庄赛道!$A$5:$A$68,MATCH(B34,半庄赛道!$B$5:$B$68,0))</f>
        <v>11</v>
      </c>
      <c r="F34" s="25">
        <f>=INDEX(半庄赛道!$C$5:$C$68,MATCH(B34,半庄赛道!$B$5:$B$68,0))</f>
        <v>123.5</v>
      </c>
      <c r="G34" s="27">
        <f>=D34+F34</f>
        <v>21</v>
      </c>
      <c r="H34" s="28">
        <v>0</v>
      </c>
      <c r="I34" s="29">
        <f>=G34-H34</f>
        <v>21</v>
      </c>
    </row>
    <row r="35" spans="1:9" ht="23" customHeight="1">
      <c r="A35" s="23">
        <f>=_xlfn.RANK.EQ(I35,$I$7:$I$70,0)</f>
        <v>29</v>
      </c>
      <c r="B35" s="24" t="s">
        <v>45</v>
      </c>
      <c r="C35" s="23">
        <f>=INDEX(东风赛道!$A$5:$A$68,MATCH(B35,东风赛道!$B$5:$B$68,0))</f>
        <v>43</v>
      </c>
      <c r="D35" s="25">
        <f>=INDEX(东风赛道!$C$5:$C$68,MATCH(B35,东风赛道!$B$5:$B$68,0))</f>
        <v>-22.8</v>
      </c>
      <c r="E35" s="26">
        <f>=INDEX(半庄赛道!$A$5:$A$68,MATCH(B35,半庄赛道!$B$5:$B$68,0))</f>
        <v>22</v>
      </c>
      <c r="F35" s="25">
        <f>=INDEX(半庄赛道!$C$5:$C$68,MATCH(B35,半庄赛道!$B$5:$B$68,0))</f>
        <v>42.7</v>
      </c>
      <c r="G35" s="27">
        <f>=D35+F35</f>
        <v>19.9</v>
      </c>
      <c r="H35" s="28">
        <v>0</v>
      </c>
      <c r="I35" s="29">
        <f>=G35-H35</f>
        <v>19.9</v>
      </c>
    </row>
    <row r="36" spans="1:9" ht="23" customHeight="1">
      <c r="A36" s="23">
        <f>=_xlfn.RANK.EQ(I36,$I$7:$I$70,0)</f>
        <v>30</v>
      </c>
      <c r="B36" s="24" t="s">
        <v>46</v>
      </c>
      <c r="C36" s="23">
        <f>=INDEX(东风赛道!$A$5:$A$68,MATCH(B36,东风赛道!$B$5:$B$68,0))</f>
        <v>48</v>
      </c>
      <c r="D36" s="25">
        <f>=INDEX(东风赛道!$C$5:$C$68,MATCH(B36,东风赛道!$B$5:$B$68,0))</f>
        <v>-50.9</v>
      </c>
      <c r="E36" s="26">
        <f>=INDEX(半庄赛道!$A$5:$A$68,MATCH(B36,半庄赛道!$B$5:$B$68,0))</f>
        <v>18</v>
      </c>
      <c r="F36" s="25">
        <f>=INDEX(半庄赛道!$C$5:$C$68,MATCH(B36,半庄赛道!$B$5:$B$68,0))</f>
        <v>66.3</v>
      </c>
      <c r="G36" s="27">
        <f>=D36+F36</f>
        <v>15.4</v>
      </c>
      <c r="H36" s="28">
        <v>0</v>
      </c>
      <c r="I36" s="29">
        <f>=G36-H36</f>
        <v>15.4</v>
      </c>
    </row>
    <row r="37" spans="1:9" ht="23" customHeight="1">
      <c r="A37" s="23">
        <f>=_xlfn.RANK.EQ(I37,$I$7:$I$70,0)</f>
        <v>31</v>
      </c>
      <c r="B37" s="24" t="s">
        <v>47</v>
      </c>
      <c r="C37" s="23">
        <f>=INDEX(东风赛道!$A$5:$A$68,MATCH(B37,东风赛道!$B$5:$B$68,0))</f>
        <v>25</v>
      </c>
      <c r="D37" s="25">
        <f>=INDEX(东风赛道!$C$5:$C$68,MATCH(B37,东风赛道!$B$5:$B$68,0))</f>
        <v>15.4</v>
      </c>
      <c r="E37" s="26">
        <f>=INDEX(半庄赛道!$A$5:$A$68,MATCH(B37,半庄赛道!$B$5:$B$68,0))</f>
        <v>34</v>
      </c>
      <c r="F37" s="25">
        <f>=INDEX(半庄赛道!$C$5:$C$68,MATCH(B37,半庄赛道!$B$5:$B$68,0))</f>
        <v>-5.4</v>
      </c>
      <c r="G37" s="27">
        <f>=D37+F37</f>
        <v>10</v>
      </c>
      <c r="H37" s="28">
        <v>0</v>
      </c>
      <c r="I37" s="29">
        <f>=G37-H37</f>
        <v>10</v>
      </c>
    </row>
    <row r="38" spans="1:9" ht="23" customHeight="1">
      <c r="A38" s="23">
        <f>=_xlfn.RANK.EQ(I38,$I$7:$I$70,0)</f>
        <v>32</v>
      </c>
      <c r="B38" s="24" t="s">
        <v>48</v>
      </c>
      <c r="C38" s="23">
        <f>=INDEX(东风赛道!$A$5:$A$68,MATCH(B38,东风赛道!$B$5:$B$68,0))</f>
        <v>34</v>
      </c>
      <c r="D38" s="25">
        <f>=INDEX(东风赛道!$C$5:$C$68,MATCH(B38,东风赛道!$B$5:$B$68,0))</f>
        <v>-12.7</v>
      </c>
      <c r="E38" s="26">
        <f>=INDEX(半庄赛道!$A$5:$A$68,MATCH(B38,半庄赛道!$B$5:$B$68,0))</f>
        <v>27</v>
      </c>
      <c r="F38" s="25">
        <f>=INDEX(半庄赛道!$C$5:$C$68,MATCH(B38,半庄赛道!$B$5:$B$68,0))</f>
        <v>10.8</v>
      </c>
      <c r="G38" s="27">
        <f>=D38+F38</f>
        <v>-1.9</v>
      </c>
      <c r="H38" s="28">
        <v>0</v>
      </c>
      <c r="I38" s="29">
        <f>=G38-H38</f>
        <v>-1.9</v>
      </c>
    </row>
    <row r="39" spans="1:9" ht="23" customHeight="1">
      <c r="A39" s="23">
        <f>=_xlfn.RANK.EQ(I39,$I$7:$I$70,0)</f>
        <v>33</v>
      </c>
      <c r="B39" s="24" t="s">
        <v>49</v>
      </c>
      <c r="C39" s="23">
        <f>=INDEX(东风赛道!$A$5:$A$68,MATCH(B39,东风赛道!$B$5:$B$68,0))</f>
        <v>41</v>
      </c>
      <c r="D39" s="25">
        <f>=INDEX(东风赛道!$C$5:$C$68,MATCH(B39,东风赛道!$B$5:$B$68,0))</f>
        <v>-19.2</v>
      </c>
      <c r="E39" s="26">
        <f>=INDEX(半庄赛道!$A$5:$A$68,MATCH(B39,半庄赛道!$B$5:$B$68,0))</f>
        <v>26</v>
      </c>
      <c r="F39" s="25">
        <f>=INDEX(半庄赛道!$C$5:$C$68,MATCH(B39,半庄赛道!$B$5:$B$68,0))</f>
        <v>13.3</v>
      </c>
      <c r="G39" s="27">
        <f>=D39+F39</f>
        <v>-5.9</v>
      </c>
      <c r="H39" s="28">
        <v>0</v>
      </c>
      <c r="I39" s="29">
        <f>=G39-H39</f>
        <v>-5.9</v>
      </c>
    </row>
    <row r="40" spans="1:9" ht="23" customHeight="1">
      <c r="A40" s="23">
        <f>=_xlfn.RANK.EQ(I40,$I$7:$I$70,0)</f>
        <v>34</v>
      </c>
      <c r="B40" s="24" t="s">
        <v>50</v>
      </c>
      <c r="C40" s="23">
        <f>=INDEX(东风赛道!$A$5:$A$68,MATCH(B40,东风赛道!$B$5:$B$68,0))</f>
        <v>33</v>
      </c>
      <c r="D40" s="25">
        <f>=INDEX(东风赛道!$C$5:$C$68,MATCH(B40,东风赛道!$B$5:$B$68,0))</f>
        <v>-8.8</v>
      </c>
      <c r="E40" s="26">
        <f>=INDEX(半庄赛道!$A$5:$A$68,MATCH(B40,半庄赛道!$B$5:$B$68,0))</f>
        <v>31</v>
      </c>
      <c r="F40" s="25">
        <f>=INDEX(半庄赛道!$C$5:$C$68,MATCH(B40,半庄赛道!$B$5:$B$68,0))</f>
        <v>1.7</v>
      </c>
      <c r="G40" s="27">
        <f>=D40+F40</f>
        <v>-7.1</v>
      </c>
      <c r="H40" s="28">
        <v>0</v>
      </c>
      <c r="I40" s="29">
        <f>=G40-H40</f>
        <v>-7.1</v>
      </c>
    </row>
    <row r="41" spans="1:9" ht="23" customHeight="1">
      <c r="A41" s="23">
        <f>=_xlfn.RANK.EQ(I41,$I$7:$I$70,0)</f>
        <v>35</v>
      </c>
      <c r="B41" s="24" t="s">
        <v>51</v>
      </c>
      <c r="C41" s="23">
        <f>=INDEX(东风赛道!$A$5:$A$68,MATCH(B41,东风赛道!$B$5:$B$68,0))</f>
        <v>11</v>
      </c>
      <c r="D41" s="25">
        <f>=INDEX(东风赛道!$C$5:$C$68,MATCH(B41,东风赛道!$B$5:$B$68,0))</f>
        <v>67.5</v>
      </c>
      <c r="E41" s="26">
        <f>=INDEX(半庄赛道!$A$5:$A$68,MATCH(B41,半庄赛道!$B$5:$B$68,0))</f>
        <v>47</v>
      </c>
      <c r="F41" s="25">
        <f>=INDEX(半庄赛道!$C$5:$C$68,MATCH(B41,半庄赛道!$B$5:$B$68,0))</f>
        <v>-86.6</v>
      </c>
      <c r="G41" s="27">
        <f>=D41+F41</f>
        <v>-19.1</v>
      </c>
      <c r="H41" s="28">
        <v>0</v>
      </c>
      <c r="I41" s="29">
        <f>=G41-H41</f>
        <v>-19.1</v>
      </c>
    </row>
    <row r="42" spans="1:9" ht="23" customHeight="1">
      <c r="A42" s="23">
        <f>=_xlfn.RANK.EQ(I42,$I$7:$I$70,0)</f>
        <v>36</v>
      </c>
      <c r="B42" s="24" t="s">
        <v>52</v>
      </c>
      <c r="C42" s="23">
        <f>=INDEX(东风赛道!$A$5:$A$68,MATCH(B42,东风赛道!$B$5:$B$68,0))</f>
        <v>23</v>
      </c>
      <c r="D42" s="25">
        <f>=INDEX(东风赛道!$C$5:$C$68,MATCH(B42,东风赛道!$B$5:$B$68,0))</f>
        <v>23</v>
      </c>
      <c r="E42" s="26">
        <f>=INDEX(半庄赛道!$A$5:$A$68,MATCH(B42,半庄赛道!$B$5:$B$68,0))</f>
        <v>43</v>
      </c>
      <c r="F42" s="25">
        <f>=INDEX(半庄赛道!$C$5:$C$68,MATCH(B42,半庄赛道!$B$5:$B$68,0))</f>
        <v>-53.8</v>
      </c>
      <c r="G42" s="27">
        <f>=D42+F42</f>
        <v>-30.8</v>
      </c>
      <c r="H42" s="28">
        <v>0</v>
      </c>
      <c r="I42" s="29">
        <f>=G42-H42</f>
        <v>-30.8</v>
      </c>
    </row>
    <row r="43" spans="1:9" ht="23" customHeight="1">
      <c r="A43" s="23">
        <f>=_xlfn.RANK.EQ(I43,$I$7:$I$70,0)</f>
        <v>37</v>
      </c>
      <c r="B43" s="24" t="s">
        <v>53</v>
      </c>
      <c r="C43" s="23">
        <f>=INDEX(东风赛道!$A$5:$A$68,MATCH(B43,东风赛道!$B$5:$B$68,0))</f>
        <v>7</v>
      </c>
      <c r="D43" s="25">
        <f>=INDEX(东风赛道!$C$5:$C$68,MATCH(B43,东风赛道!$B$5:$B$68,0))</f>
        <v>85.2</v>
      </c>
      <c r="E43" s="26">
        <f>=INDEX(半庄赛道!$A$5:$A$68,MATCH(B43,半庄赛道!$B$5:$B$68,0))</f>
        <v>56</v>
      </c>
      <c r="F43" s="25">
        <f>=INDEX(半庄赛道!$C$5:$C$68,MATCH(B43,半庄赛道!$B$5:$B$68,0))</f>
        <v>-119</v>
      </c>
      <c r="G43" s="27">
        <f>=D43+F43</f>
        <v>-33.8</v>
      </c>
      <c r="H43" s="28">
        <v>0</v>
      </c>
      <c r="I43" s="29">
        <f>=G43-H43</f>
        <v>-33.8</v>
      </c>
    </row>
    <row r="44" spans="1:9" ht="23" customHeight="1">
      <c r="A44" s="23">
        <f>=_xlfn.RANK.EQ(I44,$I$7:$I$70,0)</f>
        <v>38</v>
      </c>
      <c r="B44" s="24" t="s">
        <v>54</v>
      </c>
      <c r="C44" s="23">
        <f>=INDEX(东风赛道!$A$5:$A$68,MATCH(B44,东风赛道!$B$5:$B$68,0))</f>
        <v>37</v>
      </c>
      <c r="D44" s="25">
        <f>=INDEX(东风赛道!$C$5:$C$68,MATCH(B44,东风赛道!$B$5:$B$68,0))</f>
        <v>-14.7</v>
      </c>
      <c r="E44" s="26">
        <f>=INDEX(半庄赛道!$A$5:$A$68,MATCH(B44,半庄赛道!$B$5:$B$68,0))</f>
        <v>40</v>
      </c>
      <c r="F44" s="25">
        <f>=INDEX(半庄赛道!$C$5:$C$68,MATCH(B44,半庄赛道!$B$5:$B$68,0))</f>
        <v>-31.7</v>
      </c>
      <c r="G44" s="27">
        <f>=D44+F44</f>
        <v>-46.4</v>
      </c>
      <c r="H44" s="28">
        <v>0</v>
      </c>
      <c r="I44" s="29">
        <f>=G44-H44</f>
        <v>-46.4</v>
      </c>
    </row>
    <row r="45" spans="1:9" ht="23" customHeight="1">
      <c r="A45" s="23">
        <f>=_xlfn.RANK.EQ(I45,$I$7:$I$70,0)</f>
        <v>39</v>
      </c>
      <c r="B45" s="24" t="s">
        <v>55</v>
      </c>
      <c r="C45" s="23">
        <f>=INDEX(东风赛道!$A$5:$A$68,MATCH(B45,东风赛道!$B$5:$B$68,0))</f>
        <v>13</v>
      </c>
      <c r="D45" s="25">
        <f>=INDEX(东风赛道!$C$5:$C$68,MATCH(B45,东风赛道!$B$5:$B$68,0))</f>
        <v>64.3</v>
      </c>
      <c r="E45" s="26">
        <f>=INDEX(半庄赛道!$A$5:$A$68,MATCH(B45,半庄赛道!$B$5:$B$68,0))</f>
        <v>53</v>
      </c>
      <c r="F45" s="25">
        <f>=INDEX(半庄赛道!$C$5:$C$68,MATCH(B45,半庄赛道!$B$5:$B$68,0))</f>
        <v>-111</v>
      </c>
      <c r="G45" s="27">
        <f>=D45+F45</f>
        <v>-46.7</v>
      </c>
      <c r="H45" s="28">
        <v>0</v>
      </c>
      <c r="I45" s="29">
        <f>=G45-H45</f>
        <v>-46.7</v>
      </c>
    </row>
    <row r="46" spans="1:9" ht="23" customHeight="1">
      <c r="A46" s="23">
        <f>=_xlfn.RANK.EQ(I46,$I$7:$I$70,0)</f>
        <v>40</v>
      </c>
      <c r="B46" s="24" t="s">
        <v>56</v>
      </c>
      <c r="C46" s="23">
        <f>=INDEX(东风赛道!$A$5:$A$68,MATCH(B46,东风赛道!$B$5:$B$68,0))</f>
        <v>55</v>
      </c>
      <c r="D46" s="25">
        <f>=INDEX(东风赛道!$C$5:$C$68,MATCH(B46,东风赛道!$B$5:$B$68,0))</f>
        <v>-68</v>
      </c>
      <c r="E46" s="26">
        <f>=INDEX(半庄赛道!$A$5:$A$68,MATCH(B46,半庄赛道!$B$5:$B$68,0))</f>
        <v>25</v>
      </c>
      <c r="F46" s="25">
        <f>=INDEX(半庄赛道!$C$5:$C$68,MATCH(B46,半庄赛道!$B$5:$B$68,0))</f>
        <v>15.3</v>
      </c>
      <c r="G46" s="27">
        <f>=D46+F46</f>
        <v>-52.7</v>
      </c>
      <c r="H46" s="28">
        <v>0</v>
      </c>
      <c r="I46" s="29">
        <f>=G46-H46</f>
        <v>-52.7</v>
      </c>
    </row>
    <row r="47" spans="1:9" ht="23" customHeight="1">
      <c r="A47" s="23">
        <f>=_xlfn.RANK.EQ(I47,$I$7:$I$70,0)</f>
        <v>41</v>
      </c>
      <c r="B47" s="24" t="s">
        <v>57</v>
      </c>
      <c r="C47" s="23">
        <f>=INDEX(东风赛道!$A$5:$A$68,MATCH(B47,东风赛道!$B$5:$B$68,0))</f>
        <v>49</v>
      </c>
      <c r="D47" s="25">
        <f>=INDEX(东风赛道!$C$5:$C$68,MATCH(B47,东风赛道!$B$5:$B$68,0))</f>
        <v>-52.1</v>
      </c>
      <c r="E47" s="26">
        <f>=INDEX(半庄赛道!$A$5:$A$68,MATCH(B47,半庄赛道!$B$5:$B$68,0))</f>
        <v>35</v>
      </c>
      <c r="F47" s="25">
        <f>=INDEX(半庄赛道!$C$5:$C$68,MATCH(B47,半庄赛道!$B$5:$B$68,0))</f>
        <v>-7.4</v>
      </c>
      <c r="G47" s="27">
        <f>=D47+F47</f>
        <v>-59.5</v>
      </c>
      <c r="H47" s="28">
        <v>0</v>
      </c>
      <c r="I47" s="29">
        <f>=G47-H47</f>
        <v>-59.5</v>
      </c>
    </row>
    <row r="48" spans="1:9" ht="23" customHeight="1">
      <c r="A48" s="23">
        <f>=_xlfn.RANK.EQ(I48,$I$7:$I$70,0)</f>
        <v>42</v>
      </c>
      <c r="B48" s="24" t="s">
        <v>58</v>
      </c>
      <c r="C48" s="23">
        <f>=INDEX(东风赛道!$A$5:$A$68,MATCH(B48,东风赛道!$B$5:$B$68,0))</f>
        <v>21</v>
      </c>
      <c r="D48" s="25">
        <f>=INDEX(东风赛道!$C$5:$C$68,MATCH(B48,东风赛道!$B$5:$B$68,0))</f>
        <v>28.6</v>
      </c>
      <c r="E48" s="26">
        <f>=INDEX(半庄赛道!$A$5:$A$68,MATCH(B48,半庄赛道!$B$5:$B$68,0))</f>
        <v>49</v>
      </c>
      <c r="F48" s="25">
        <f>=INDEX(半庄赛道!$C$5:$C$68,MATCH(B48,半庄赛道!$B$5:$B$68,0))</f>
        <v>-96.7</v>
      </c>
      <c r="G48" s="27">
        <f>=D48+F48</f>
        <v>-68.1</v>
      </c>
      <c r="H48" s="28">
        <v>0</v>
      </c>
      <c r="I48" s="29">
        <f>=G48-H48</f>
        <v>-68.1</v>
      </c>
    </row>
    <row r="49" spans="1:9" ht="23" customHeight="1">
      <c r="A49" s="23">
        <f>=_xlfn.RANK.EQ(I49,$I$7:$I$70,0)</f>
        <v>43</v>
      </c>
      <c r="B49" s="24" t="s">
        <v>59</v>
      </c>
      <c r="C49" s="23">
        <f>=INDEX(东风赛道!$A$5:$A$68,MATCH(B49,东风赛道!$B$5:$B$68,0))</f>
        <v>30</v>
      </c>
      <c r="D49" s="25">
        <f>=INDEX(东风赛道!$C$5:$C$68,MATCH(B49,东风赛道!$B$5:$B$68,0))</f>
        <v>10.2</v>
      </c>
      <c r="E49" s="26">
        <f>=INDEX(半庄赛道!$A$5:$A$68,MATCH(B49,半庄赛道!$B$5:$B$68,0))</f>
        <v>46</v>
      </c>
      <c r="F49" s="25">
        <f>=INDEX(半庄赛道!$C$5:$C$68,MATCH(B49,半庄赛道!$B$5:$B$68,0))</f>
        <v>-79.9</v>
      </c>
      <c r="G49" s="27">
        <f>=D49+F49</f>
        <v>-69.7</v>
      </c>
      <c r="H49" s="28">
        <v>0</v>
      </c>
      <c r="I49" s="29">
        <f>=G49-H49</f>
        <v>-69.7</v>
      </c>
    </row>
    <row r="50" spans="1:9" ht="23" customHeight="1">
      <c r="A50" s="23">
        <f>=_xlfn.RANK.EQ(I50,$I$7:$I$70,0)</f>
        <v>44</v>
      </c>
      <c r="B50" s="24" t="s">
        <v>60</v>
      </c>
      <c r="C50" s="23">
        <f>=INDEX(东风赛道!$A$5:$A$68,MATCH(B50,东风赛道!$B$5:$B$68,0))</f>
        <v>20</v>
      </c>
      <c r="D50" s="25">
        <f>=INDEX(东风赛道!$C$5:$C$68,MATCH(B50,东风赛道!$B$5:$B$68,0))</f>
        <v>40.4</v>
      </c>
      <c r="E50" s="26">
        <f>=INDEX(半庄赛道!$A$5:$A$68,MATCH(B50,半庄赛道!$B$5:$B$68,0))</f>
        <v>55</v>
      </c>
      <c r="F50" s="25">
        <f>=INDEX(半庄赛道!$C$5:$C$68,MATCH(B50,半庄赛道!$B$5:$B$68,0))</f>
        <v>-115.6</v>
      </c>
      <c r="G50" s="27">
        <f>=D50+F50</f>
        <v>-75.2</v>
      </c>
      <c r="H50" s="28">
        <v>0</v>
      </c>
      <c r="I50" s="29">
        <f>=G50-H50</f>
        <v>-75.2</v>
      </c>
    </row>
    <row r="51" spans="1:9" ht="23" customHeight="1">
      <c r="A51" s="23">
        <f>=_xlfn.RANK.EQ(I51,$I$7:$I$70,0)</f>
        <v>45</v>
      </c>
      <c r="B51" s="24" t="s">
        <v>61</v>
      </c>
      <c r="C51" s="23">
        <f>=INDEX(东风赛道!$A$5:$A$68,MATCH(B51,东风赛道!$B$5:$B$68,0))</f>
        <v>24</v>
      </c>
      <c r="D51" s="25">
        <f>=INDEX(东风赛道!$C$5:$C$68,MATCH(B51,东风赛道!$B$5:$B$68,0))</f>
        <v>15.6</v>
      </c>
      <c r="E51" s="26">
        <f>=INDEX(半庄赛道!$A$5:$A$68,MATCH(B51,半庄赛道!$B$5:$B$68,0))</f>
        <v>48</v>
      </c>
      <c r="F51" s="25">
        <f>=INDEX(半庄赛道!$C$5:$C$68,MATCH(B51,半庄赛道!$B$5:$B$68,0))</f>
        <v>-91.2</v>
      </c>
      <c r="G51" s="27">
        <f>=D51+F51</f>
        <v>-75.6</v>
      </c>
      <c r="H51" s="28">
        <v>0</v>
      </c>
      <c r="I51" s="29">
        <f>=G51-H51</f>
        <v>-75.6</v>
      </c>
    </row>
    <row r="52" spans="1:9" ht="23" customHeight="1">
      <c r="A52" s="23">
        <f>=_xlfn.RANK.EQ(I52,$I$7:$I$70,0)</f>
        <v>46</v>
      </c>
      <c r="B52" s="24" t="s">
        <v>62</v>
      </c>
      <c r="C52" s="23">
        <f>=INDEX(东风赛道!$A$5:$A$68,MATCH(B52,东风赛道!$B$5:$B$68,0))</f>
        <v>38</v>
      </c>
      <c r="D52" s="25">
        <f>=INDEX(东风赛道!$C$5:$C$68,MATCH(B52,东风赛道!$B$5:$B$68,0))</f>
        <v>-15</v>
      </c>
      <c r="E52" s="26">
        <f>=INDEX(半庄赛道!$A$5:$A$68,MATCH(B52,半庄赛道!$B$5:$B$68,0))</f>
        <v>44</v>
      </c>
      <c r="F52" s="25">
        <f>=INDEX(半庄赛道!$C$5:$C$68,MATCH(B52,半庄赛道!$B$5:$B$68,0))</f>
        <v>-62.8</v>
      </c>
      <c r="G52" s="27">
        <f>=D52+F52</f>
        <v>-77.8</v>
      </c>
      <c r="H52" s="28">
        <v>0</v>
      </c>
      <c r="I52" s="29">
        <f>=G52-H52</f>
        <v>-77.8</v>
      </c>
    </row>
    <row r="53" spans="1:9" ht="23" customHeight="1">
      <c r="A53" s="23">
        <f>=_xlfn.RANK.EQ(I53,$I$7:$I$70,0)</f>
        <v>47</v>
      </c>
      <c r="B53" s="24" t="s">
        <v>63</v>
      </c>
      <c r="C53" s="23">
        <f>=INDEX(东风赛道!$A$5:$A$68,MATCH(B53,东风赛道!$B$5:$B$68,0))</f>
        <v>54</v>
      </c>
      <c r="D53" s="25">
        <f>=INDEX(东风赛道!$C$5:$C$68,MATCH(B53,东风赛道!$B$5:$B$68,0))</f>
        <v>-60.9</v>
      </c>
      <c r="E53" s="26">
        <f>=INDEX(半庄赛道!$A$5:$A$68,MATCH(B53,半庄赛道!$B$5:$B$68,0))</f>
        <v>39</v>
      </c>
      <c r="F53" s="25">
        <f>=INDEX(半庄赛道!$C$5:$C$68,MATCH(B53,半庄赛道!$B$5:$B$68,0))</f>
        <v>-24.3</v>
      </c>
      <c r="G53" s="27">
        <f>=D53+F53</f>
        <v>-85.2</v>
      </c>
      <c r="H53" s="28">
        <v>0</v>
      </c>
      <c r="I53" s="29">
        <f>=G53-H53</f>
        <v>-85.2</v>
      </c>
    </row>
    <row r="54" spans="1:9" ht="23" customHeight="1">
      <c r="A54" s="23">
        <f>=_xlfn.RANK.EQ(I54,$I$7:$I$70,0)</f>
        <v>48</v>
      </c>
      <c r="B54" s="24" t="s">
        <v>64</v>
      </c>
      <c r="C54" s="23">
        <f>=INDEX(东风赛道!$A$5:$A$68,MATCH(B54,东风赛道!$B$5:$B$68,0))</f>
        <v>59</v>
      </c>
      <c r="D54" s="25">
        <f>=INDEX(东风赛道!$C$5:$C$68,MATCH(B54,东风赛道!$B$5:$B$68,0))</f>
        <v>-90.4</v>
      </c>
      <c r="E54" s="26">
        <f>=INDEX(半庄赛道!$A$5:$A$68,MATCH(B54,半庄赛道!$B$5:$B$68,0))</f>
        <v>32</v>
      </c>
      <c r="F54" s="25">
        <f>=INDEX(半庄赛道!$C$5:$C$68,MATCH(B54,半庄赛道!$B$5:$B$68,0))</f>
        <v>-0.3</v>
      </c>
      <c r="G54" s="27">
        <f>=D54+F54</f>
        <v>-90.7</v>
      </c>
      <c r="H54" s="28">
        <v>0</v>
      </c>
      <c r="I54" s="29">
        <f>=G54-H54</f>
        <v>-90.7</v>
      </c>
    </row>
    <row r="55" spans="1:9" ht="23" customHeight="1">
      <c r="A55" s="23">
        <f>=_xlfn.RANK.EQ(I55,$I$7:$I$70,0)</f>
        <v>49</v>
      </c>
      <c r="B55" s="24" t="s">
        <v>65</v>
      </c>
      <c r="C55" s="23">
        <f>=INDEX(东风赛道!$A$5:$A$68,MATCH(B55,东风赛道!$B$5:$B$68,0))</f>
        <v>18</v>
      </c>
      <c r="D55" s="25">
        <f>=INDEX(东风赛道!$C$5:$C$68,MATCH(B55,东风赛道!$B$5:$B$68,0))</f>
        <v>47</v>
      </c>
      <c r="E55" s="26">
        <f>=INDEX(半庄赛道!$A$5:$A$68,MATCH(B55,半庄赛道!$B$5:$B$68,0))</f>
        <v>60</v>
      </c>
      <c r="F55" s="25">
        <f>=INDEX(半庄赛道!$C$5:$C$68,MATCH(B55,半庄赛道!$B$5:$B$68,0))</f>
        <v>-137.8</v>
      </c>
      <c r="G55" s="27">
        <f>=D55+F55</f>
        <v>-90.8</v>
      </c>
      <c r="H55" s="28">
        <v>0</v>
      </c>
      <c r="I55" s="29">
        <f>=G55-H55</f>
        <v>-90.8</v>
      </c>
    </row>
    <row r="56" spans="1:9" ht="23" customHeight="1">
      <c r="A56" s="23">
        <f>=_xlfn.RANK.EQ(I56,$I$7:$I$70,0)</f>
        <v>50</v>
      </c>
      <c r="B56" s="24" t="s">
        <v>66</v>
      </c>
      <c r="C56" s="23">
        <f>=INDEX(东风赛道!$A$5:$A$68,MATCH(B56,东风赛道!$B$5:$B$68,0))</f>
        <v>57</v>
      </c>
      <c r="D56" s="25">
        <f>=INDEX(东风赛道!$C$5:$C$68,MATCH(B56,东风赛道!$B$5:$B$68,0))</f>
        <v>-82.1</v>
      </c>
      <c r="E56" s="26">
        <f>=INDEX(半庄赛道!$A$5:$A$68,MATCH(B56,半庄赛道!$B$5:$B$68,0))</f>
        <v>36</v>
      </c>
      <c r="F56" s="25">
        <f>=INDEX(半庄赛道!$C$5:$C$68,MATCH(B56,半庄赛道!$B$5:$B$68,0))</f>
        <v>-10.9</v>
      </c>
      <c r="G56" s="27">
        <f>=D56+F56</f>
        <v>-93</v>
      </c>
      <c r="H56" s="28">
        <v>0</v>
      </c>
      <c r="I56" s="29">
        <f>=G56-H56</f>
        <v>-93</v>
      </c>
    </row>
    <row r="57" spans="1:9" ht="23" customHeight="1">
      <c r="A57" s="23">
        <f>=_xlfn.RANK.EQ(I57,$I$7:$I$70,0)</f>
        <v>51</v>
      </c>
      <c r="B57" s="24" t="s">
        <v>67</v>
      </c>
      <c r="C57" s="23">
        <f>=INDEX(东风赛道!$A$5:$A$68,MATCH(B57,东风赛道!$B$5:$B$68,0))</f>
        <v>58</v>
      </c>
      <c r="D57" s="25">
        <f>=INDEX(东风赛道!$C$5:$C$68,MATCH(B57,东风赛道!$B$5:$B$68,0))</f>
        <v>-87.6</v>
      </c>
      <c r="E57" s="26">
        <f>=INDEX(半庄赛道!$A$5:$A$68,MATCH(B57,半庄赛道!$B$5:$B$68,0))</f>
        <v>37</v>
      </c>
      <c r="F57" s="25">
        <f>=INDEX(半庄赛道!$C$5:$C$68,MATCH(B57,半庄赛道!$B$5:$B$68,0))</f>
        <v>-15.3</v>
      </c>
      <c r="G57" s="27">
        <f>=D57+F57</f>
        <v>-102.9</v>
      </c>
      <c r="H57" s="28">
        <v>0</v>
      </c>
      <c r="I57" s="29">
        <f>=G57-H57</f>
        <v>-102.9</v>
      </c>
    </row>
    <row r="58" spans="1:9" ht="23" customHeight="1">
      <c r="A58" s="23">
        <f>=_xlfn.RANK.EQ(I58,$I$7:$I$70,0)</f>
        <v>52</v>
      </c>
      <c r="B58" s="24" t="s">
        <v>68</v>
      </c>
      <c r="C58" s="23">
        <f>=INDEX(东风赛道!$A$5:$A$68,MATCH(B58,东风赛道!$B$5:$B$68,0))</f>
        <v>27</v>
      </c>
      <c r="D58" s="25">
        <f>=INDEX(东风赛道!$C$5:$C$68,MATCH(B58,东风赛道!$B$5:$B$68,0))</f>
        <v>14.4</v>
      </c>
      <c r="E58" s="26">
        <f>=INDEX(半庄赛道!$A$5:$A$68,MATCH(B58,半庄赛道!$B$5:$B$68,0))</f>
        <v>59</v>
      </c>
      <c r="F58" s="25">
        <f>=INDEX(半庄赛道!$C$5:$C$68,MATCH(B58,半庄赛道!$B$5:$B$68,0))</f>
        <v>-135.8</v>
      </c>
      <c r="G58" s="27">
        <f>=D58+F58</f>
        <v>-121.4</v>
      </c>
      <c r="H58" s="28">
        <v>0</v>
      </c>
      <c r="I58" s="29">
        <f>=G58-H58</f>
        <v>-121.4</v>
      </c>
    </row>
    <row r="59" spans="1:9" ht="23" customHeight="1">
      <c r="A59" s="23">
        <f>=_xlfn.RANK.EQ(I59,$I$7:$I$70,0)</f>
        <v>53</v>
      </c>
      <c r="B59" s="24" t="s">
        <v>69</v>
      </c>
      <c r="C59" s="23">
        <f>=INDEX(东风赛道!$A$5:$A$68,MATCH(B59,东风赛道!$B$5:$B$68,0))</f>
        <v>42</v>
      </c>
      <c r="D59" s="25">
        <f>=INDEX(东风赛道!$C$5:$C$68,MATCH(B59,东风赛道!$B$5:$B$68,0))</f>
        <v>-22.5</v>
      </c>
      <c r="E59" s="26">
        <f>=INDEX(半庄赛道!$A$5:$A$68,MATCH(B59,半庄赛道!$B$5:$B$68,0))</f>
        <v>52</v>
      </c>
      <c r="F59" s="25">
        <f>=INDEX(半庄赛道!$C$5:$C$68,MATCH(B59,半庄赛道!$B$5:$B$68,0))</f>
        <v>-104.2</v>
      </c>
      <c r="G59" s="27">
        <f>=D59+F59</f>
        <v>-126.7</v>
      </c>
      <c r="H59" s="28">
        <v>0</v>
      </c>
      <c r="I59" s="29">
        <f>=G59-H59</f>
        <v>-126.7</v>
      </c>
    </row>
    <row r="60" spans="1:9" ht="23" customHeight="1">
      <c r="A60" s="23">
        <f>=_xlfn.RANK.EQ(I60,$I$7:$I$70,0)</f>
        <v>54</v>
      </c>
      <c r="B60" s="24" t="s">
        <v>70</v>
      </c>
      <c r="C60" s="23">
        <f>=INDEX(东风赛道!$A$5:$A$68,MATCH(B60,东风赛道!$B$5:$B$68,0))</f>
        <v>47</v>
      </c>
      <c r="D60" s="25">
        <f>=INDEX(东风赛道!$C$5:$C$68,MATCH(B60,东风赛道!$B$5:$B$68,0))</f>
        <v>-30.6</v>
      </c>
      <c r="E60" s="26">
        <f>=INDEX(半庄赛道!$A$5:$A$68,MATCH(B60,半庄赛道!$B$5:$B$68,0))</f>
        <v>50</v>
      </c>
      <c r="F60" s="25">
        <f>=INDEX(半庄赛道!$C$5:$C$68,MATCH(B60,半庄赛道!$B$5:$B$68,0))</f>
        <v>-102.6</v>
      </c>
      <c r="G60" s="27">
        <f>=D60+F60</f>
        <v>-133.2</v>
      </c>
      <c r="H60" s="28">
        <v>0</v>
      </c>
      <c r="I60" s="29">
        <f>=G60-H60</f>
        <v>-133.2</v>
      </c>
    </row>
    <row r="61" spans="1:9" ht="23" customHeight="1">
      <c r="A61" s="23">
        <f>=_xlfn.RANK.EQ(I61,$I$7:$I$70,0)</f>
        <v>55</v>
      </c>
      <c r="B61" s="24" t="s">
        <v>71</v>
      </c>
      <c r="C61" s="23">
        <f>=INDEX(东风赛道!$A$5:$A$68,MATCH(B61,东风赛道!$B$5:$B$68,0))</f>
        <v>45</v>
      </c>
      <c r="D61" s="25">
        <f>=INDEX(东风赛道!$C$5:$C$68,MATCH(B61,东风赛道!$B$5:$B$68,0))</f>
        <v>-25</v>
      </c>
      <c r="E61" s="26">
        <f>=INDEX(半庄赛道!$A$5:$A$68,MATCH(B61,半庄赛道!$B$5:$B$68,0))</f>
        <v>57</v>
      </c>
      <c r="F61" s="25">
        <f>=INDEX(半庄赛道!$C$5:$C$68,MATCH(B61,半庄赛道!$B$5:$B$68,0))</f>
        <v>-119</v>
      </c>
      <c r="G61" s="27">
        <f>=D61+F61</f>
        <v>-144</v>
      </c>
      <c r="H61" s="28">
        <v>0</v>
      </c>
      <c r="I61" s="29">
        <f>=G61-H61</f>
        <v>-144</v>
      </c>
    </row>
    <row r="62" spans="1:9" ht="23" customHeight="1">
      <c r="A62" s="23">
        <f>=_xlfn.RANK.EQ(I62,$I$7:$I$70,0)</f>
        <v>56</v>
      </c>
      <c r="B62" s="24" t="s">
        <v>72</v>
      </c>
      <c r="C62" s="23">
        <f>=INDEX(东风赛道!$A$5:$A$68,MATCH(B62,东风赛道!$B$5:$B$68,0))</f>
        <v>64</v>
      </c>
      <c r="D62" s="25">
        <f>=INDEX(东风赛道!$C$5:$C$68,MATCH(B62,东风赛道!$B$5:$B$68,0))</f>
        <v>-160.7</v>
      </c>
      <c r="E62" s="26">
        <f>=INDEX(半庄赛道!$A$5:$A$68,MATCH(B62,半庄赛道!$B$5:$B$68,0))</f>
        <v>29</v>
      </c>
      <c r="F62" s="25">
        <f>=INDEX(半庄赛道!$C$5:$C$68,MATCH(B62,半庄赛道!$B$5:$B$68,0))</f>
        <v>7.8</v>
      </c>
      <c r="G62" s="27">
        <f>=D62+F62</f>
        <v>-152.9</v>
      </c>
      <c r="H62" s="28">
        <v>0</v>
      </c>
      <c r="I62" s="29">
        <f>=G62-H62</f>
        <v>-152.9</v>
      </c>
    </row>
    <row r="63" spans="1:9" ht="23" customHeight="1">
      <c r="A63" s="23">
        <f>=_xlfn.RANK.EQ(I63,$I$7:$I$70,0)</f>
        <v>57</v>
      </c>
      <c r="B63" s="24" t="s">
        <v>73</v>
      </c>
      <c r="C63" s="23">
        <f>=INDEX(东风赛道!$A$5:$A$68,MATCH(B63,东风赛道!$B$5:$B$68,0))</f>
        <v>62</v>
      </c>
      <c r="D63" s="25">
        <f>=INDEX(东风赛道!$C$5:$C$68,MATCH(B63,东风赛道!$B$5:$B$68,0))</f>
        <v>-118.3</v>
      </c>
      <c r="E63" s="26">
        <f>=INDEX(半庄赛道!$A$5:$A$68,MATCH(B63,半庄赛道!$B$5:$B$68,0))</f>
        <v>42</v>
      </c>
      <c r="F63" s="25">
        <f>=INDEX(半庄赛道!$C$5:$C$68,MATCH(B63,半庄赛道!$B$5:$B$68,0))</f>
        <v>-45.3</v>
      </c>
      <c r="G63" s="27">
        <f>=D63+F63</f>
        <v>-163.6</v>
      </c>
      <c r="H63" s="28">
        <v>0</v>
      </c>
      <c r="I63" s="29">
        <f>=G63-H63</f>
        <v>-163.6</v>
      </c>
    </row>
    <row r="64" spans="1:9" ht="23" customHeight="1">
      <c r="A64" s="23">
        <f>=_xlfn.RANK.EQ(I64,$I$7:$I$70,0)</f>
        <v>58</v>
      </c>
      <c r="B64" s="24" t="s">
        <v>74</v>
      </c>
      <c r="C64" s="23">
        <f>=INDEX(东风赛道!$A$5:$A$68,MATCH(B64,东风赛道!$B$5:$B$68,0))</f>
        <v>60</v>
      </c>
      <c r="D64" s="25">
        <f>=INDEX(东风赛道!$C$5:$C$68,MATCH(B64,东风赛道!$B$5:$B$68,0))</f>
        <v>-96.9</v>
      </c>
      <c r="E64" s="26">
        <f>=INDEX(半庄赛道!$A$5:$A$68,MATCH(B64,半庄赛道!$B$5:$B$68,0))</f>
        <v>45</v>
      </c>
      <c r="F64" s="25">
        <f>=INDEX(半庄赛道!$C$5:$C$68,MATCH(B64,半庄赛道!$B$5:$B$68,0))</f>
        <v>-67.9</v>
      </c>
      <c r="G64" s="27">
        <f>=D64+F64</f>
        <v>-164.8</v>
      </c>
      <c r="H64" s="28">
        <v>0</v>
      </c>
      <c r="I64" s="29">
        <f>=G64-H64</f>
        <v>-164.8</v>
      </c>
    </row>
    <row r="65" spans="1:9" ht="23" customHeight="1">
      <c r="A65" s="23">
        <f>=_xlfn.RANK.EQ(I65,$I$7:$I$70,0)</f>
        <v>59</v>
      </c>
      <c r="B65" s="24" t="s">
        <v>75</v>
      </c>
      <c r="C65" s="23">
        <f>=INDEX(东风赛道!$A$5:$A$68,MATCH(B65,东风赛道!$B$5:$B$68,0))</f>
        <v>51</v>
      </c>
      <c r="D65" s="25">
        <f>=INDEX(东风赛道!$C$5:$C$68,MATCH(B65,东风赛道!$B$5:$B$68,0))</f>
        <v>-53.7</v>
      </c>
      <c r="E65" s="26">
        <f>=INDEX(半庄赛道!$A$5:$A$68,MATCH(B65,半庄赛道!$B$5:$B$68,0))</f>
        <v>51</v>
      </c>
      <c r="F65" s="25">
        <f>=INDEX(半庄赛道!$C$5:$C$68,MATCH(B65,半庄赛道!$B$5:$B$68,0))</f>
        <v>-102.6</v>
      </c>
      <c r="G65" s="27">
        <f>=D65+F65</f>
        <v>-156.3</v>
      </c>
      <c r="H65" s="28">
        <v>10</v>
      </c>
      <c r="I65" s="29">
        <f>=G65-H65</f>
        <v>-166.3</v>
      </c>
    </row>
    <row r="66" spans="1:9" ht="23" customHeight="1">
      <c r="A66" s="23">
        <f>=_xlfn.RANK.EQ(I66,$I$7:$I$70,0)</f>
        <v>60</v>
      </c>
      <c r="B66" s="24" t="s">
        <v>76</v>
      </c>
      <c r="C66" s="23">
        <f>=INDEX(东风赛道!$A$5:$A$68,MATCH(B66,东风赛道!$B$5:$B$68,0))</f>
        <v>32</v>
      </c>
      <c r="D66" s="25">
        <f>=INDEX(东风赛道!$C$5:$C$68,MATCH(B66,东风赛道!$B$5:$B$68,0))</f>
        <v>-7.7</v>
      </c>
      <c r="E66" s="26">
        <f>=INDEX(半庄赛道!$A$5:$A$68,MATCH(B66,半庄赛道!$B$5:$B$68,0))</f>
        <v>63</v>
      </c>
      <c r="F66" s="25">
        <f>=INDEX(半庄赛道!$C$5:$C$68,MATCH(B66,半庄赛道!$B$5:$B$68,0))</f>
        <v>-160.7</v>
      </c>
      <c r="G66" s="27">
        <f>=D66+F66</f>
        <v>-168.4</v>
      </c>
      <c r="H66" s="28">
        <v>0</v>
      </c>
      <c r="I66" s="29">
        <f>=G66-H66</f>
        <v>-168.4</v>
      </c>
    </row>
    <row r="67" spans="1:9" ht="23" customHeight="1">
      <c r="A67" s="23">
        <f>=_xlfn.RANK.EQ(I67,$I$7:$I$70,0)</f>
        <v>61</v>
      </c>
      <c r="B67" s="24" t="s">
        <v>77</v>
      </c>
      <c r="C67" s="23">
        <f>=INDEX(东风赛道!$A$5:$A$68,MATCH(B67,东风赛道!$B$5:$B$68,0))</f>
        <v>26</v>
      </c>
      <c r="D67" s="25">
        <f>=INDEX(东风赛道!$C$5:$C$68,MATCH(B67,东风赛道!$B$5:$B$68,0))</f>
        <v>15.1</v>
      </c>
      <c r="E67" s="26">
        <f>=INDEX(半庄赛道!$A$5:$A$68,MATCH(B67,半庄赛道!$B$5:$B$68,0))</f>
        <v>64</v>
      </c>
      <c r="F67" s="25">
        <f>=INDEX(半庄赛道!$C$5:$C$68,MATCH(B67,半庄赛道!$B$5:$B$68,0))</f>
        <v>-198.3</v>
      </c>
      <c r="G67" s="27">
        <f>=D67+F67</f>
        <v>-183.2</v>
      </c>
      <c r="H67" s="28">
        <v>0</v>
      </c>
      <c r="I67" s="29">
        <f>=G67-H67</f>
        <v>-183.2</v>
      </c>
    </row>
    <row r="68" spans="1:9" ht="23" customHeight="1">
      <c r="A68" s="23">
        <f>=_xlfn.RANK.EQ(I68,$I$7:$I$70,0)</f>
        <v>62</v>
      </c>
      <c r="B68" s="24" t="s">
        <v>78</v>
      </c>
      <c r="C68" s="23">
        <f>=INDEX(东风赛道!$A$5:$A$68,MATCH(B68,东风赛道!$B$5:$B$68,0))</f>
        <v>52</v>
      </c>
      <c r="D68" s="25">
        <f>=INDEX(东风赛道!$C$5:$C$68,MATCH(B68,东风赛道!$B$5:$B$68,0))</f>
        <v>-53.7</v>
      </c>
      <c r="E68" s="26">
        <f>=INDEX(半庄赛道!$A$5:$A$68,MATCH(B68,半庄赛道!$B$5:$B$68,0))</f>
        <v>61</v>
      </c>
      <c r="F68" s="25">
        <f>=INDEX(半庄赛道!$C$5:$C$68,MATCH(B68,半庄赛道!$B$5:$B$68,0))</f>
        <v>-146.2</v>
      </c>
      <c r="G68" s="27">
        <f>=D68+F68</f>
        <v>-199.9</v>
      </c>
      <c r="H68" s="28">
        <v>0</v>
      </c>
      <c r="I68" s="29">
        <f>=G68-H68</f>
        <v>-199.9</v>
      </c>
    </row>
    <row r="69" spans="1:9" ht="23" customHeight="1">
      <c r="A69" s="23">
        <f>=_xlfn.RANK.EQ(I69,$I$7:$I$70,0)</f>
        <v>63</v>
      </c>
      <c r="B69" s="24" t="s">
        <v>79</v>
      </c>
      <c r="C69" s="23">
        <f>=INDEX(东风赛道!$A$5:$A$68,MATCH(B69,东风赛道!$B$5:$B$68,0))</f>
        <v>56</v>
      </c>
      <c r="D69" s="25">
        <f>=INDEX(东风赛道!$C$5:$C$68,MATCH(B69,东风赛道!$B$5:$B$68,0))</f>
        <v>-80.4</v>
      </c>
      <c r="E69" s="26">
        <f>=INDEX(半庄赛道!$A$5:$A$68,MATCH(B69,半庄赛道!$B$5:$B$68,0))</f>
        <v>62</v>
      </c>
      <c r="F69" s="25">
        <f>=INDEX(半庄赛道!$C$5:$C$68,MATCH(B69,半庄赛道!$B$5:$B$68,0))</f>
        <v>-146.7</v>
      </c>
      <c r="G69" s="27">
        <f>=D69+F69</f>
        <v>-227.1</v>
      </c>
      <c r="H69" s="28">
        <v>0</v>
      </c>
      <c r="I69" s="29">
        <f>=G69-H69</f>
        <v>-227.1</v>
      </c>
    </row>
    <row r="70" spans="1:9" ht="23" customHeight="1">
      <c r="A70" s="30">
        <f>=_xlfn.RANK.EQ(I70,$I$7:$I$70,0)</f>
        <v>64</v>
      </c>
      <c r="B70" s="31" t="s">
        <v>80</v>
      </c>
      <c r="C70" s="30">
        <f>=INDEX(东风赛道!$A$5:$A$68,MATCH(B70,东风赛道!$B$5:$B$68,0))</f>
        <v>63</v>
      </c>
      <c r="D70" s="32">
        <f>=INDEX(东风赛道!$C$5:$C$68,MATCH(B70,东风赛道!$B$5:$B$68,0))</f>
        <v>-126.8</v>
      </c>
      <c r="E70" s="33">
        <f>=INDEX(半庄赛道!$A$5:$A$68,MATCH(B70,半庄赛道!$B$5:$B$68,0))</f>
        <v>54</v>
      </c>
      <c r="F70" s="32">
        <f>=INDEX(半庄赛道!$C$5:$C$68,MATCH(B70,半庄赛道!$B$5:$B$68,0))</f>
        <v>-113.3</v>
      </c>
      <c r="G70" s="34">
        <f>=D70+F70</f>
        <v>-240.1</v>
      </c>
      <c r="H70" s="35">
        <v>0</v>
      </c>
      <c r="I70" s="36">
        <f>=G70-H70</f>
        <v>-240.1</v>
      </c>
    </row>
  </sheetData>
  <mergeCells count="4">
    <mergeCell ref="A1:I1"/>
    <mergeCell ref="A2:I2"/>
    <mergeCell ref="H4:I4"/>
    <mergeCell ref="A5:I5"/>
  </mergeCells>
  <conditionalFormatting sqref="A7:A70">
    <cfRule type="cellIs" dxfId="0" priority="1" operator="equal">
      <formula>1</formula>
    </cfRule>
  </conditionalFormatting>
  <conditionalFormatting sqref="A7:A70">
    <cfRule type="cellIs" dxfId="1" priority="2" operator="equal">
      <formula>2</formula>
    </cfRule>
  </conditionalFormatting>
  <conditionalFormatting sqref="A7:A70">
    <cfRule type="cellIs" dxfId="2" priority="3" operator="equal">
      <formula>3</formula>
    </cfRule>
  </conditionalFormatting>
  <conditionalFormatting sqref="H7:H70">
    <cfRule type="cellIs" dxfId="3" priority="4" operator="greaterThan">
      <formula>0</formula>
    </cfRule>
  </conditionalFormatting>
  <conditionalFormatting sqref="D7:G70">
    <cfRule type="cellIs" dxfId="4" priority="5" operator="lessThan">
      <formula>0</formula>
    </cfRule>
  </conditionalFormatting>
  <conditionalFormatting sqref="I7:I70">
    <cfRule type="cellIs" dxfId="5" priority="6" operator="lessThan">
      <formula>0</formula>
    </cfRule>
  </conditionalFormatting>
  <pageMargins left="0.7" right="0.7" top="0.75" bottom="0.75" header="0.3" footer="0.3"/>
  <headerFooter/>
  <tableParts count="1">
    <tablePart r:id="rId0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68"/>
  <sheetViews>
    <sheetView showGridLines="0" workbookViewId="0"/>
  </sheetViews>
  <sheetFormatPr defaultColWidth="9" defaultRowHeight="14" outlineLevelCol="7"/>
  <cols>
    <col min="1" max="1" width="8" customWidth="1"/>
    <col min="2" max="2" width="20" customWidth="1"/>
    <col min="3" max="3" width="12" customWidth="1"/>
    <col min="4" max="4" width="10" customWidth="1"/>
    <col min="5" max="5" width="26" customWidth="1"/>
    <col min="6" max="6" width="46" customWidth="1"/>
    <col min="7" max="7" width="10" customWidth="1"/>
    <col min="8" max="8" width="60" customWidth="1"/>
  </cols>
  <sheetData>
    <row r="1" spans="1:8" ht="32" customHeight="1">
      <c r="A1" s="4" t="s">
        <v>81</v>
      </c>
      <c r="B1" s="4" t="s">
        <v>81</v>
      </c>
      <c r="C1" s="4" t="s">
        <v>81</v>
      </c>
      <c r="D1" s="4" t="s">
        <v>81</v>
      </c>
      <c r="E1" s="4" t="s">
        <v>81</v>
      </c>
      <c r="F1" s="4" t="s">
        <v>81</v>
      </c>
      <c r="G1" s="4" t="s">
        <v>81</v>
      </c>
      <c r="H1" s="4" t="s">
        <v>81</v>
      </c>
    </row>
    <row r="2" spans="1:8">
      <c r="A2" s="5" t="s">
        <v>82</v>
      </c>
      <c r="B2" s="5" t="s"/>
      <c r="C2" s="5" t="s"/>
      <c r="D2" s="5" t="s"/>
      <c r="E2" s="5" t="s"/>
      <c r="F2" s="5" t="s"/>
      <c r="G2" s="5" t="s"/>
      <c r="H2" s="5" t="s"/>
    </row>
    <row r="3" spans="1:8">
      <c r="A3" s="37" t="s">
        <v>83</v>
      </c>
      <c r="B3" s="37" t="s"/>
      <c r="C3" s="37" t="s"/>
      <c r="D3" s="37" t="s"/>
      <c r="E3" s="37" t="s"/>
      <c r="F3" s="37" t="s"/>
      <c r="G3" s="37" t="s"/>
      <c r="H3" s="37" t="s"/>
    </row>
    <row r="4" spans="1:8" ht="26" customHeight="1">
      <c r="A4" s="13" t="s">
        <v>84</v>
      </c>
      <c r="B4" s="14" t="s">
        <v>10</v>
      </c>
      <c r="C4" s="14" t="s">
        <v>85</v>
      </c>
      <c r="D4" s="14" t="s">
        <v>86</v>
      </c>
      <c r="E4" s="14" t="s">
        <v>87</v>
      </c>
      <c r="F4" s="14" t="s">
        <v>88</v>
      </c>
      <c r="G4" s="14" t="s">
        <v>89</v>
      </c>
      <c r="H4" s="15" t="s">
        <v>90</v>
      </c>
    </row>
    <row r="5" spans="1:8" ht="24" customHeight="1">
      <c r="A5" s="16">
        <v>1</v>
      </c>
      <c r="B5" s="17" t="s">
        <v>43</v>
      </c>
      <c r="C5" s="38">
        <v>150.3</v>
      </c>
      <c r="D5" s="16" t="s"/>
      <c r="E5" s="39" t="s">
        <v>91</v>
      </c>
      <c r="F5" s="39" t="s">
        <v>92</v>
      </c>
      <c r="G5" s="16" t="s">
        <v>93</v>
      </c>
      <c r="H5" s="40" t="s">
        <v>94</v>
      </c>
    </row>
    <row r="6" spans="1:8" ht="24" customHeight="1">
      <c r="A6" s="23">
        <v>2</v>
      </c>
      <c r="B6" s="24" t="s">
        <v>22</v>
      </c>
      <c r="C6" s="41">
        <v>111.1</v>
      </c>
      <c r="D6" s="23" t="s"/>
      <c r="E6" s="42" t="s">
        <v>95</v>
      </c>
      <c r="F6" s="42" t="s">
        <v>96</v>
      </c>
      <c r="G6" s="23" t="s">
        <v>97</v>
      </c>
      <c r="H6" s="43" t="s">
        <v>94</v>
      </c>
    </row>
    <row r="7" spans="1:8" ht="24" customHeight="1">
      <c r="A7" s="23">
        <v>3</v>
      </c>
      <c r="B7" s="24" t="s">
        <v>38</v>
      </c>
      <c r="C7" s="41">
        <v>104.5</v>
      </c>
      <c r="D7" s="23" t="s"/>
      <c r="E7" s="42" t="s">
        <v>98</v>
      </c>
      <c r="F7" s="42" t="s">
        <v>99</v>
      </c>
      <c r="G7" s="23" t="s">
        <v>100</v>
      </c>
      <c r="H7" s="43" t="s">
        <v>94</v>
      </c>
    </row>
    <row r="8" spans="1:8" ht="24" customHeight="1">
      <c r="A8" s="23">
        <v>4</v>
      </c>
      <c r="B8" s="24" t="s">
        <v>24</v>
      </c>
      <c r="C8" s="41">
        <v>104.4</v>
      </c>
      <c r="D8" s="23" t="s"/>
      <c r="E8" s="42" t="s">
        <v>101</v>
      </c>
      <c r="F8" s="42" t="s">
        <v>102</v>
      </c>
      <c r="G8" s="23" t="s">
        <v>103</v>
      </c>
      <c r="H8" s="43" t="s">
        <v>94</v>
      </c>
    </row>
    <row r="9" spans="1:8" ht="24" customHeight="1">
      <c r="A9" s="23">
        <v>5</v>
      </c>
      <c r="B9" s="24" t="s">
        <v>21</v>
      </c>
      <c r="C9" s="41">
        <v>92.9</v>
      </c>
      <c r="D9" s="23" t="s"/>
      <c r="E9" s="42" t="s">
        <v>104</v>
      </c>
      <c r="F9" s="42" t="s">
        <v>105</v>
      </c>
      <c r="G9" s="23" t="s">
        <v>93</v>
      </c>
      <c r="H9" s="43" t="s">
        <v>94</v>
      </c>
    </row>
    <row r="10" spans="1:8" ht="24" customHeight="1">
      <c r="A10" s="23">
        <v>6</v>
      </c>
      <c r="B10" s="24" t="s">
        <v>7</v>
      </c>
      <c r="C10" s="41">
        <v>85.9</v>
      </c>
      <c r="D10" s="23" t="s"/>
      <c r="E10" s="42" t="s">
        <v>106</v>
      </c>
      <c r="F10" s="42" t="s">
        <v>107</v>
      </c>
      <c r="G10" s="23" t="s">
        <v>108</v>
      </c>
      <c r="H10" s="43" t="s">
        <v>94</v>
      </c>
    </row>
    <row r="11" spans="1:8" ht="24" customHeight="1">
      <c r="A11" s="23">
        <v>7</v>
      </c>
      <c r="B11" s="24" t="s">
        <v>53</v>
      </c>
      <c r="C11" s="41">
        <v>85.2</v>
      </c>
      <c r="D11" s="23" t="s"/>
      <c r="E11" s="42" t="s">
        <v>109</v>
      </c>
      <c r="F11" s="42" t="s">
        <v>110</v>
      </c>
      <c r="G11" s="23" t="s">
        <v>111</v>
      </c>
      <c r="H11" s="43" t="s">
        <v>94</v>
      </c>
    </row>
    <row r="12" spans="1:8" ht="24" customHeight="1">
      <c r="A12" s="23">
        <v>8</v>
      </c>
      <c r="B12" s="24" t="s">
        <v>33</v>
      </c>
      <c r="C12" s="41">
        <v>83.2</v>
      </c>
      <c r="D12" s="23" t="s"/>
      <c r="E12" s="42" t="s">
        <v>112</v>
      </c>
      <c r="F12" s="42" t="s">
        <v>113</v>
      </c>
      <c r="G12" s="23" t="s">
        <v>114</v>
      </c>
      <c r="H12" s="43" t="s">
        <v>94</v>
      </c>
    </row>
    <row r="13" spans="1:8" ht="24" customHeight="1">
      <c r="A13" s="23">
        <v>9</v>
      </c>
      <c r="B13" s="24" t="s">
        <v>34</v>
      </c>
      <c r="C13" s="41">
        <v>72.3</v>
      </c>
      <c r="D13" s="23" t="s"/>
      <c r="E13" s="42" t="s">
        <v>115</v>
      </c>
      <c r="F13" s="42" t="s">
        <v>116</v>
      </c>
      <c r="G13" s="23" t="s">
        <v>117</v>
      </c>
      <c r="H13" s="43" t="s">
        <v>94</v>
      </c>
    </row>
    <row r="14" spans="1:8" ht="24" customHeight="1">
      <c r="A14" s="23">
        <v>10</v>
      </c>
      <c r="B14" s="24" t="s">
        <v>31</v>
      </c>
      <c r="C14" s="41">
        <v>71.1</v>
      </c>
      <c r="D14" s="23" t="s"/>
      <c r="E14" s="42" t="s">
        <v>118</v>
      </c>
      <c r="F14" s="42" t="s">
        <v>119</v>
      </c>
      <c r="G14" s="23" t="s">
        <v>117</v>
      </c>
      <c r="H14" s="43" t="s">
        <v>94</v>
      </c>
    </row>
    <row r="15" spans="1:8" ht="24" customHeight="1">
      <c r="A15" s="23">
        <v>11</v>
      </c>
      <c r="B15" s="24" t="s">
        <v>51</v>
      </c>
      <c r="C15" s="41">
        <v>67.5</v>
      </c>
      <c r="D15" s="23" t="s"/>
      <c r="E15" s="42" t="s">
        <v>120</v>
      </c>
      <c r="F15" s="42" t="s">
        <v>121</v>
      </c>
      <c r="G15" s="23" t="s">
        <v>100</v>
      </c>
      <c r="H15" s="43" t="s">
        <v>94</v>
      </c>
    </row>
    <row r="16" spans="1:8" ht="24" customHeight="1">
      <c r="A16" s="23">
        <v>12</v>
      </c>
      <c r="B16" s="24" t="s">
        <v>39</v>
      </c>
      <c r="C16" s="41">
        <v>64.5</v>
      </c>
      <c r="D16" s="23" t="s"/>
      <c r="E16" s="42" t="s">
        <v>122</v>
      </c>
      <c r="F16" s="42" t="s">
        <v>123</v>
      </c>
      <c r="G16" s="23" t="s">
        <v>100</v>
      </c>
      <c r="H16" s="43" t="s">
        <v>94</v>
      </c>
    </row>
    <row r="17" spans="1:8" ht="24" customHeight="1">
      <c r="A17" s="23">
        <v>13</v>
      </c>
      <c r="B17" s="24" t="s">
        <v>55</v>
      </c>
      <c r="C17" s="41">
        <v>64.3</v>
      </c>
      <c r="D17" s="23" t="s"/>
      <c r="E17" s="42" t="s">
        <v>124</v>
      </c>
      <c r="F17" s="42" t="s">
        <v>125</v>
      </c>
      <c r="G17" s="23" t="s">
        <v>108</v>
      </c>
      <c r="H17" s="43" t="s">
        <v>94</v>
      </c>
    </row>
    <row r="18" spans="1:8" ht="24" customHeight="1">
      <c r="A18" s="23">
        <v>14</v>
      </c>
      <c r="B18" s="24" t="s">
        <v>19</v>
      </c>
      <c r="C18" s="41">
        <v>64.1</v>
      </c>
      <c r="D18" s="23" t="s"/>
      <c r="E18" s="42" t="s">
        <v>126</v>
      </c>
      <c r="F18" s="42" t="s">
        <v>127</v>
      </c>
      <c r="G18" s="23" t="s">
        <v>128</v>
      </c>
      <c r="H18" s="43" t="s">
        <v>94</v>
      </c>
    </row>
    <row r="19" spans="1:8" ht="24" customHeight="1">
      <c r="A19" s="23">
        <v>15</v>
      </c>
      <c r="B19" s="24" t="s">
        <v>27</v>
      </c>
      <c r="C19" s="41">
        <v>60.3</v>
      </c>
      <c r="D19" s="23" t="s"/>
      <c r="E19" s="42" t="s">
        <v>129</v>
      </c>
      <c r="F19" s="42" t="s">
        <v>130</v>
      </c>
      <c r="G19" s="23" t="s">
        <v>131</v>
      </c>
      <c r="H19" s="43" t="s">
        <v>94</v>
      </c>
    </row>
    <row r="20" spans="1:8" ht="24" customHeight="1">
      <c r="A20" s="23">
        <v>16</v>
      </c>
      <c r="B20" s="24" t="s">
        <v>18</v>
      </c>
      <c r="C20" s="41">
        <v>49.4</v>
      </c>
      <c r="D20" s="23" t="s"/>
      <c r="E20" s="42" t="s">
        <v>132</v>
      </c>
      <c r="F20" s="42" t="s">
        <v>133</v>
      </c>
      <c r="G20" s="23" t="s">
        <v>134</v>
      </c>
      <c r="H20" s="43" t="s">
        <v>94</v>
      </c>
    </row>
    <row r="21" spans="1:8" ht="24" customHeight="1">
      <c r="A21" s="23">
        <v>17</v>
      </c>
      <c r="B21" s="24" t="s">
        <v>26</v>
      </c>
      <c r="C21" s="41">
        <v>49.1</v>
      </c>
      <c r="D21" s="23" t="s"/>
      <c r="E21" s="42" t="s">
        <v>135</v>
      </c>
      <c r="F21" s="42" t="s">
        <v>136</v>
      </c>
      <c r="G21" s="23" t="s">
        <v>97</v>
      </c>
      <c r="H21" s="43" t="s">
        <v>94</v>
      </c>
    </row>
    <row r="22" spans="1:8" ht="24" customHeight="1">
      <c r="A22" s="23">
        <v>18</v>
      </c>
      <c r="B22" s="24" t="s">
        <v>65</v>
      </c>
      <c r="C22" s="41">
        <v>47</v>
      </c>
      <c r="D22" s="23" t="s"/>
      <c r="E22" s="42" t="s">
        <v>137</v>
      </c>
      <c r="F22" s="42" t="s">
        <v>138</v>
      </c>
      <c r="G22" s="23" t="s">
        <v>108</v>
      </c>
      <c r="H22" s="43" t="s">
        <v>94</v>
      </c>
    </row>
    <row r="23" spans="1:8" ht="24" customHeight="1">
      <c r="A23" s="23">
        <v>19</v>
      </c>
      <c r="B23" s="24" t="s">
        <v>40</v>
      </c>
      <c r="C23" s="41">
        <v>41.7</v>
      </c>
      <c r="D23" s="23" t="s"/>
      <c r="E23" s="42" t="s">
        <v>139</v>
      </c>
      <c r="F23" s="42" t="s">
        <v>140</v>
      </c>
      <c r="G23" s="23" t="s">
        <v>141</v>
      </c>
      <c r="H23" s="43" t="s">
        <v>94</v>
      </c>
    </row>
    <row r="24" spans="1:8" ht="24" customHeight="1">
      <c r="A24" s="23">
        <v>20</v>
      </c>
      <c r="B24" s="24" t="s">
        <v>60</v>
      </c>
      <c r="C24" s="41">
        <v>40.4</v>
      </c>
      <c r="D24" s="23" t="s"/>
      <c r="E24" s="42" t="s">
        <v>142</v>
      </c>
      <c r="F24" s="42" t="s">
        <v>143</v>
      </c>
      <c r="G24" s="23" t="s">
        <v>134</v>
      </c>
      <c r="H24" s="43" t="s">
        <v>94</v>
      </c>
    </row>
    <row r="25" spans="1:8" ht="24" customHeight="1">
      <c r="A25" s="23">
        <v>21</v>
      </c>
      <c r="B25" s="24" t="s">
        <v>58</v>
      </c>
      <c r="C25" s="41">
        <v>28.6</v>
      </c>
      <c r="D25" s="23" t="s"/>
      <c r="E25" s="42" t="s">
        <v>144</v>
      </c>
      <c r="F25" s="42" t="s">
        <v>145</v>
      </c>
      <c r="G25" s="23" t="s">
        <v>128</v>
      </c>
      <c r="H25" s="43" t="s">
        <v>94</v>
      </c>
    </row>
    <row r="26" spans="1:8" ht="24" customHeight="1">
      <c r="A26" s="23">
        <v>22</v>
      </c>
      <c r="B26" s="24" t="s">
        <v>20</v>
      </c>
      <c r="C26" s="41">
        <v>23.7</v>
      </c>
      <c r="D26" s="23" t="s"/>
      <c r="E26" s="42" t="s">
        <v>146</v>
      </c>
      <c r="F26" s="42" t="s">
        <v>147</v>
      </c>
      <c r="G26" s="23" t="s">
        <v>100</v>
      </c>
      <c r="H26" s="43" t="s">
        <v>94</v>
      </c>
    </row>
    <row r="27" spans="1:8" ht="24" customHeight="1">
      <c r="A27" s="23">
        <v>23</v>
      </c>
      <c r="B27" s="24" t="s">
        <v>52</v>
      </c>
      <c r="C27" s="41">
        <v>23</v>
      </c>
      <c r="D27" s="23" t="s"/>
      <c r="E27" s="42" t="s">
        <v>148</v>
      </c>
      <c r="F27" s="42" t="s">
        <v>149</v>
      </c>
      <c r="G27" s="23" t="s">
        <v>97</v>
      </c>
      <c r="H27" s="43" t="s">
        <v>94</v>
      </c>
    </row>
    <row r="28" spans="1:8" ht="24" customHeight="1">
      <c r="A28" s="23">
        <v>24</v>
      </c>
      <c r="B28" s="24" t="s">
        <v>61</v>
      </c>
      <c r="C28" s="41">
        <v>15.6</v>
      </c>
      <c r="D28" s="23" t="s"/>
      <c r="E28" s="42" t="s">
        <v>150</v>
      </c>
      <c r="F28" s="42" t="s">
        <v>151</v>
      </c>
      <c r="G28" s="23" t="s">
        <v>152</v>
      </c>
      <c r="H28" s="43" t="s">
        <v>94</v>
      </c>
    </row>
    <row r="29" spans="1:8" ht="24" customHeight="1">
      <c r="A29" s="23">
        <v>25</v>
      </c>
      <c r="B29" s="24" t="s">
        <v>47</v>
      </c>
      <c r="C29" s="41">
        <v>15.4</v>
      </c>
      <c r="D29" s="23" t="s"/>
      <c r="E29" s="42" t="s">
        <v>153</v>
      </c>
      <c r="F29" s="42" t="s">
        <v>154</v>
      </c>
      <c r="G29" s="23" t="s">
        <v>155</v>
      </c>
      <c r="H29" s="43" t="s">
        <v>94</v>
      </c>
    </row>
    <row r="30" spans="1:8" ht="24" customHeight="1">
      <c r="A30" s="23">
        <v>26</v>
      </c>
      <c r="B30" s="24" t="s">
        <v>77</v>
      </c>
      <c r="C30" s="41">
        <v>15.1</v>
      </c>
      <c r="D30" s="23" t="s"/>
      <c r="E30" s="42" t="s">
        <v>156</v>
      </c>
      <c r="F30" s="42" t="s">
        <v>157</v>
      </c>
      <c r="G30" s="23" t="s">
        <v>152</v>
      </c>
      <c r="H30" s="43" t="s">
        <v>94</v>
      </c>
    </row>
    <row r="31" spans="1:8" ht="24" customHeight="1">
      <c r="A31" s="23">
        <v>27</v>
      </c>
      <c r="B31" s="24" t="s">
        <v>68</v>
      </c>
      <c r="C31" s="41">
        <v>14.4</v>
      </c>
      <c r="D31" s="23" t="s"/>
      <c r="E31" s="42" t="s">
        <v>158</v>
      </c>
      <c r="F31" s="42" t="s">
        <v>159</v>
      </c>
      <c r="G31" s="23" t="s">
        <v>155</v>
      </c>
      <c r="H31" s="43" t="s">
        <v>94</v>
      </c>
    </row>
    <row r="32" spans="1:8" ht="24" customHeight="1">
      <c r="A32" s="23">
        <v>28</v>
      </c>
      <c r="B32" s="24" t="s">
        <v>25</v>
      </c>
      <c r="C32" s="41">
        <v>14.1</v>
      </c>
      <c r="D32" s="23" t="s"/>
      <c r="E32" s="42" t="s">
        <v>160</v>
      </c>
      <c r="F32" s="42" t="s">
        <v>161</v>
      </c>
      <c r="G32" s="23" t="s">
        <v>131</v>
      </c>
      <c r="H32" s="43" t="s">
        <v>94</v>
      </c>
    </row>
    <row r="33" spans="1:8" ht="24" customHeight="1">
      <c r="A33" s="23">
        <v>29</v>
      </c>
      <c r="B33" s="24" t="s">
        <v>23</v>
      </c>
      <c r="C33" s="41">
        <v>12.4</v>
      </c>
      <c r="D33" s="23" t="s"/>
      <c r="E33" s="42" t="s">
        <v>162</v>
      </c>
      <c r="F33" s="42" t="s">
        <v>163</v>
      </c>
      <c r="G33" s="23" t="s">
        <v>152</v>
      </c>
      <c r="H33" s="43" t="s">
        <v>94</v>
      </c>
    </row>
    <row r="34" spans="1:8" ht="24" customHeight="1">
      <c r="A34" s="23">
        <v>30</v>
      </c>
      <c r="B34" s="24" t="s">
        <v>59</v>
      </c>
      <c r="C34" s="41">
        <v>10.2</v>
      </c>
      <c r="D34" s="23" t="s"/>
      <c r="E34" s="42" t="s">
        <v>164</v>
      </c>
      <c r="F34" s="42" t="s">
        <v>165</v>
      </c>
      <c r="G34" s="23" t="s">
        <v>166</v>
      </c>
      <c r="H34" s="43" t="s">
        <v>94</v>
      </c>
    </row>
    <row r="35" spans="1:8" ht="36" customHeight="1">
      <c r="A35" s="23">
        <v>31</v>
      </c>
      <c r="B35" s="24" t="s">
        <v>36</v>
      </c>
      <c r="C35" s="41">
        <v>6.6</v>
      </c>
      <c r="D35" s="23" t="s"/>
      <c r="E35" s="42" t="s">
        <v>167</v>
      </c>
      <c r="F35" s="42" t="s">
        <v>168</v>
      </c>
      <c r="G35" s="23" t="s">
        <v>128</v>
      </c>
      <c r="H35" s="43" t="s">
        <v>94</v>
      </c>
    </row>
    <row r="36" spans="1:8" ht="24" customHeight="1">
      <c r="A36" s="23">
        <v>32</v>
      </c>
      <c r="B36" s="24" t="s">
        <v>76</v>
      </c>
      <c r="C36" s="41">
        <v>-7.7</v>
      </c>
      <c r="D36" s="23" t="s"/>
      <c r="E36" s="42" t="s">
        <v>169</v>
      </c>
      <c r="F36" s="42" t="s">
        <v>170</v>
      </c>
      <c r="G36" s="23" t="s">
        <v>117</v>
      </c>
      <c r="H36" s="43" t="s">
        <v>94</v>
      </c>
    </row>
    <row r="37" spans="1:8" ht="24" customHeight="1">
      <c r="A37" s="23">
        <v>33</v>
      </c>
      <c r="B37" s="24" t="s">
        <v>50</v>
      </c>
      <c r="C37" s="41">
        <v>-8.8</v>
      </c>
      <c r="D37" s="23" t="s"/>
      <c r="E37" s="42" t="s">
        <v>171</v>
      </c>
      <c r="F37" s="42" t="s">
        <v>172</v>
      </c>
      <c r="G37" s="23" t="s">
        <v>173</v>
      </c>
      <c r="H37" s="43" t="s">
        <v>94</v>
      </c>
    </row>
    <row r="38" spans="1:8" ht="24" customHeight="1">
      <c r="A38" s="23">
        <v>34</v>
      </c>
      <c r="B38" s="24" t="s">
        <v>48</v>
      </c>
      <c r="C38" s="41">
        <v>-12.7</v>
      </c>
      <c r="D38" s="23" t="s"/>
      <c r="E38" s="42" t="s">
        <v>174</v>
      </c>
      <c r="F38" s="42" t="s">
        <v>175</v>
      </c>
      <c r="G38" s="23" t="s">
        <v>141</v>
      </c>
      <c r="H38" s="43" t="s">
        <v>94</v>
      </c>
    </row>
    <row r="39" spans="1:8" ht="24" customHeight="1">
      <c r="A39" s="23">
        <v>35</v>
      </c>
      <c r="B39" s="24" t="s">
        <v>28</v>
      </c>
      <c r="C39" s="41">
        <v>-12.9</v>
      </c>
      <c r="D39" s="23" t="s"/>
      <c r="E39" s="42" t="s">
        <v>176</v>
      </c>
      <c r="F39" s="42" t="s">
        <v>177</v>
      </c>
      <c r="G39" s="23" t="s">
        <v>173</v>
      </c>
      <c r="H39" s="43" t="s">
        <v>94</v>
      </c>
    </row>
    <row r="40" spans="1:8" ht="24" customHeight="1">
      <c r="A40" s="23">
        <v>36</v>
      </c>
      <c r="B40" s="24" t="s">
        <v>37</v>
      </c>
      <c r="C40" s="41">
        <v>-13.6</v>
      </c>
      <c r="D40" s="23" t="s"/>
      <c r="E40" s="42" t="s">
        <v>178</v>
      </c>
      <c r="F40" s="42" t="s">
        <v>179</v>
      </c>
      <c r="G40" s="23" t="s">
        <v>166</v>
      </c>
      <c r="H40" s="43" t="s">
        <v>94</v>
      </c>
    </row>
    <row r="41" spans="1:8" ht="36" customHeight="1">
      <c r="A41" s="23">
        <v>37</v>
      </c>
      <c r="B41" s="24" t="s">
        <v>54</v>
      </c>
      <c r="C41" s="41">
        <v>-14.7</v>
      </c>
      <c r="D41" s="23" t="s"/>
      <c r="E41" s="42" t="s">
        <v>180</v>
      </c>
      <c r="F41" s="42" t="s">
        <v>181</v>
      </c>
      <c r="G41" s="23" t="s">
        <v>97</v>
      </c>
      <c r="H41" s="43" t="s">
        <v>94</v>
      </c>
    </row>
    <row r="42" spans="1:8" ht="24" customHeight="1">
      <c r="A42" s="23">
        <v>38</v>
      </c>
      <c r="B42" s="24" t="s">
        <v>62</v>
      </c>
      <c r="C42" s="41">
        <v>-15</v>
      </c>
      <c r="D42" s="23" t="s"/>
      <c r="E42" s="42" t="s">
        <v>182</v>
      </c>
      <c r="F42" s="42" t="s">
        <v>183</v>
      </c>
      <c r="G42" s="23" t="s">
        <v>173</v>
      </c>
      <c r="H42" s="43" t="s">
        <v>94</v>
      </c>
    </row>
    <row r="43" spans="1:8" ht="24" customHeight="1">
      <c r="A43" s="23">
        <v>39</v>
      </c>
      <c r="B43" s="24" t="s">
        <v>35</v>
      </c>
      <c r="C43" s="41">
        <v>-15.8</v>
      </c>
      <c r="D43" s="23" t="s"/>
      <c r="E43" s="42" t="s">
        <v>184</v>
      </c>
      <c r="F43" s="42" t="s">
        <v>185</v>
      </c>
      <c r="G43" s="23" t="s">
        <v>141</v>
      </c>
      <c r="H43" s="43" t="s">
        <v>94</v>
      </c>
    </row>
    <row r="44" spans="1:8" ht="24" customHeight="1">
      <c r="A44" s="23">
        <v>40</v>
      </c>
      <c r="B44" s="24" t="s">
        <v>30</v>
      </c>
      <c r="C44" s="41">
        <v>-18.7</v>
      </c>
      <c r="D44" s="23" t="s"/>
      <c r="E44" s="42" t="s">
        <v>186</v>
      </c>
      <c r="F44" s="42" t="s">
        <v>187</v>
      </c>
      <c r="G44" s="23" t="s">
        <v>155</v>
      </c>
      <c r="H44" s="43" t="s">
        <v>94</v>
      </c>
    </row>
    <row r="45" spans="1:8" ht="24" customHeight="1">
      <c r="A45" s="23">
        <v>41</v>
      </c>
      <c r="B45" s="24" t="s">
        <v>49</v>
      </c>
      <c r="C45" s="41">
        <v>-19.2</v>
      </c>
      <c r="D45" s="23" t="s"/>
      <c r="E45" s="42" t="s">
        <v>188</v>
      </c>
      <c r="F45" s="42" t="s">
        <v>189</v>
      </c>
      <c r="G45" s="23" t="s">
        <v>93</v>
      </c>
      <c r="H45" s="43" t="s">
        <v>94</v>
      </c>
    </row>
    <row r="46" spans="1:8" ht="24" customHeight="1">
      <c r="A46" s="23">
        <v>42</v>
      </c>
      <c r="B46" s="24" t="s">
        <v>69</v>
      </c>
      <c r="C46" s="41">
        <v>-22.5</v>
      </c>
      <c r="D46" s="23" t="s"/>
      <c r="E46" s="42" t="s">
        <v>190</v>
      </c>
      <c r="F46" s="42" t="s">
        <v>191</v>
      </c>
      <c r="G46" s="23" t="s">
        <v>114</v>
      </c>
      <c r="H46" s="43" t="s">
        <v>94</v>
      </c>
    </row>
    <row r="47" spans="1:8" ht="24" customHeight="1">
      <c r="A47" s="23">
        <v>43</v>
      </c>
      <c r="B47" s="24" t="s">
        <v>45</v>
      </c>
      <c r="C47" s="41">
        <v>-22.8</v>
      </c>
      <c r="D47" s="23" t="s"/>
      <c r="E47" s="42" t="s">
        <v>192</v>
      </c>
      <c r="F47" s="42" t="s">
        <v>193</v>
      </c>
      <c r="G47" s="23" t="s">
        <v>134</v>
      </c>
      <c r="H47" s="43" t="s">
        <v>94</v>
      </c>
    </row>
    <row r="48" spans="1:8" ht="24" customHeight="1">
      <c r="A48" s="23">
        <v>44</v>
      </c>
      <c r="B48" s="24" t="s">
        <v>41</v>
      </c>
      <c r="C48" s="41">
        <v>-23.7</v>
      </c>
      <c r="D48" s="23" t="s"/>
      <c r="E48" s="42" t="s">
        <v>194</v>
      </c>
      <c r="F48" s="42" t="s">
        <v>195</v>
      </c>
      <c r="G48" s="23" t="s">
        <v>114</v>
      </c>
      <c r="H48" s="43" t="s">
        <v>94</v>
      </c>
    </row>
    <row r="49" spans="1:8" ht="24" customHeight="1">
      <c r="A49" s="23">
        <v>45</v>
      </c>
      <c r="B49" s="24" t="s">
        <v>71</v>
      </c>
      <c r="C49" s="41">
        <v>-25</v>
      </c>
      <c r="D49" s="23" t="s"/>
      <c r="E49" s="42" t="s">
        <v>196</v>
      </c>
      <c r="F49" s="42" t="s">
        <v>197</v>
      </c>
      <c r="G49" s="23" t="s">
        <v>114</v>
      </c>
      <c r="H49" s="43" t="s">
        <v>94</v>
      </c>
    </row>
    <row r="50" spans="1:8" ht="24" customHeight="1">
      <c r="A50" s="23">
        <v>46</v>
      </c>
      <c r="B50" s="24" t="s">
        <v>29</v>
      </c>
      <c r="C50" s="41">
        <v>-26.3</v>
      </c>
      <c r="D50" s="23" t="s"/>
      <c r="E50" s="42" t="s">
        <v>198</v>
      </c>
      <c r="F50" s="42" t="s">
        <v>199</v>
      </c>
      <c r="G50" s="23" t="s">
        <v>117</v>
      </c>
      <c r="H50" s="43" t="s">
        <v>94</v>
      </c>
    </row>
    <row r="51" spans="1:8" ht="24" customHeight="1">
      <c r="A51" s="23">
        <v>47</v>
      </c>
      <c r="B51" s="24" t="s">
        <v>70</v>
      </c>
      <c r="C51" s="41">
        <v>-30.6</v>
      </c>
      <c r="D51" s="23" t="s"/>
      <c r="E51" s="42" t="s">
        <v>200</v>
      </c>
      <c r="F51" s="42" t="s">
        <v>201</v>
      </c>
      <c r="G51" s="23" t="s">
        <v>93</v>
      </c>
      <c r="H51" s="43" t="s">
        <v>94</v>
      </c>
    </row>
    <row r="52" spans="1:8" ht="24" customHeight="1">
      <c r="A52" s="23">
        <v>48</v>
      </c>
      <c r="B52" s="24" t="s">
        <v>46</v>
      </c>
      <c r="C52" s="41">
        <v>-50.9</v>
      </c>
      <c r="D52" s="23" t="s"/>
      <c r="E52" s="42" t="s">
        <v>202</v>
      </c>
      <c r="F52" s="42" t="s">
        <v>203</v>
      </c>
      <c r="G52" s="23" t="s">
        <v>103</v>
      </c>
      <c r="H52" s="43" t="s">
        <v>94</v>
      </c>
    </row>
    <row r="53" spans="1:8" ht="24" customHeight="1">
      <c r="A53" s="23">
        <v>49</v>
      </c>
      <c r="B53" s="24" t="s">
        <v>57</v>
      </c>
      <c r="C53" s="41">
        <v>-52.1</v>
      </c>
      <c r="D53" s="23" t="s"/>
      <c r="E53" s="42" t="s">
        <v>204</v>
      </c>
      <c r="F53" s="42" t="s">
        <v>205</v>
      </c>
      <c r="G53" s="23" t="s">
        <v>111</v>
      </c>
      <c r="H53" s="43" t="s">
        <v>94</v>
      </c>
    </row>
    <row r="54" spans="1:8" ht="24" customHeight="1">
      <c r="A54" s="23">
        <v>50</v>
      </c>
      <c r="B54" s="24" t="s">
        <v>32</v>
      </c>
      <c r="C54" s="41">
        <v>-53.1</v>
      </c>
      <c r="D54" s="23" t="s"/>
      <c r="E54" s="42" t="s">
        <v>206</v>
      </c>
      <c r="F54" s="42" t="s">
        <v>207</v>
      </c>
      <c r="G54" s="23" t="s">
        <v>111</v>
      </c>
      <c r="H54" s="43" t="s">
        <v>94</v>
      </c>
    </row>
    <row r="55" spans="1:8" ht="24" customHeight="1">
      <c r="A55" s="23">
        <v>51</v>
      </c>
      <c r="B55" s="24" t="s">
        <v>75</v>
      </c>
      <c r="C55" s="41">
        <v>-53.7</v>
      </c>
      <c r="D55" s="23" t="s"/>
      <c r="E55" s="42" t="s">
        <v>208</v>
      </c>
      <c r="F55" s="42" t="s">
        <v>209</v>
      </c>
      <c r="G55" s="23" t="s">
        <v>103</v>
      </c>
      <c r="H55" s="43" t="s">
        <v>94</v>
      </c>
    </row>
    <row r="56" spans="1:8" ht="24" customHeight="1">
      <c r="A56" s="23">
        <v>52</v>
      </c>
      <c r="B56" s="24" t="s">
        <v>78</v>
      </c>
      <c r="C56" s="41">
        <v>-53.7</v>
      </c>
      <c r="D56" s="23" t="s"/>
      <c r="E56" s="42" t="s">
        <v>210</v>
      </c>
      <c r="F56" s="42" t="s">
        <v>211</v>
      </c>
      <c r="G56" s="23" t="s">
        <v>128</v>
      </c>
      <c r="H56" s="43" t="s">
        <v>94</v>
      </c>
    </row>
    <row r="57" spans="1:8" ht="24" customHeight="1">
      <c r="A57" s="23">
        <v>53</v>
      </c>
      <c r="B57" s="24" t="s">
        <v>42</v>
      </c>
      <c r="C57" s="41">
        <v>-60.2</v>
      </c>
      <c r="D57" s="23" t="s"/>
      <c r="E57" s="42" t="s">
        <v>212</v>
      </c>
      <c r="F57" s="42" t="s">
        <v>213</v>
      </c>
      <c r="G57" s="23" t="s">
        <v>111</v>
      </c>
      <c r="H57" s="43" t="s">
        <v>94</v>
      </c>
    </row>
    <row r="58" spans="1:8" ht="24" customHeight="1">
      <c r="A58" s="23">
        <v>54</v>
      </c>
      <c r="B58" s="24" t="s">
        <v>63</v>
      </c>
      <c r="C58" s="41">
        <v>-60.9</v>
      </c>
      <c r="D58" s="23" t="s"/>
      <c r="E58" s="42" t="s">
        <v>214</v>
      </c>
      <c r="F58" s="42" t="s">
        <v>215</v>
      </c>
      <c r="G58" s="23" t="s">
        <v>103</v>
      </c>
      <c r="H58" s="43" t="s">
        <v>94</v>
      </c>
    </row>
    <row r="59" spans="1:8" ht="24" customHeight="1">
      <c r="A59" s="23">
        <v>55</v>
      </c>
      <c r="B59" s="24" t="s">
        <v>56</v>
      </c>
      <c r="C59" s="41">
        <v>-68</v>
      </c>
      <c r="D59" s="23" t="s"/>
      <c r="E59" s="42" t="s">
        <v>216</v>
      </c>
      <c r="F59" s="42" t="s">
        <v>217</v>
      </c>
      <c r="G59" s="23" t="s">
        <v>166</v>
      </c>
      <c r="H59" s="43" t="s">
        <v>94</v>
      </c>
    </row>
    <row r="60" spans="1:8" ht="24" customHeight="1">
      <c r="A60" s="23">
        <v>56</v>
      </c>
      <c r="B60" s="24" t="s">
        <v>79</v>
      </c>
      <c r="C60" s="41">
        <v>-80.4</v>
      </c>
      <c r="D60" s="23" t="s"/>
      <c r="E60" s="42" t="s">
        <v>218</v>
      </c>
      <c r="F60" s="42" t="s">
        <v>219</v>
      </c>
      <c r="G60" s="23" t="s">
        <v>134</v>
      </c>
      <c r="H60" s="43" t="s">
        <v>94</v>
      </c>
    </row>
    <row r="61" spans="1:8" ht="24" customHeight="1">
      <c r="A61" s="23">
        <v>57</v>
      </c>
      <c r="B61" s="24" t="s">
        <v>66</v>
      </c>
      <c r="C61" s="41">
        <v>-82.1</v>
      </c>
      <c r="D61" s="23" t="s"/>
      <c r="E61" s="42" t="s">
        <v>220</v>
      </c>
      <c r="F61" s="42" t="s">
        <v>221</v>
      </c>
      <c r="G61" s="23" t="s">
        <v>166</v>
      </c>
      <c r="H61" s="43" t="s">
        <v>94</v>
      </c>
    </row>
    <row r="62" spans="1:8" ht="24" customHeight="1">
      <c r="A62" s="23">
        <v>58</v>
      </c>
      <c r="B62" s="24" t="s">
        <v>67</v>
      </c>
      <c r="C62" s="41">
        <v>-87.6</v>
      </c>
      <c r="D62" s="23" t="s"/>
      <c r="E62" s="42" t="s">
        <v>222</v>
      </c>
      <c r="F62" s="42" t="s">
        <v>223</v>
      </c>
      <c r="G62" s="23" t="s">
        <v>141</v>
      </c>
      <c r="H62" s="43" t="s">
        <v>94</v>
      </c>
    </row>
    <row r="63" spans="1:8" ht="24" customHeight="1">
      <c r="A63" s="23">
        <v>59</v>
      </c>
      <c r="B63" s="24" t="s">
        <v>64</v>
      </c>
      <c r="C63" s="41">
        <v>-90.4</v>
      </c>
      <c r="D63" s="23" t="s"/>
      <c r="E63" s="42" t="s">
        <v>224</v>
      </c>
      <c r="F63" s="42" t="s">
        <v>225</v>
      </c>
      <c r="G63" s="23" t="s">
        <v>173</v>
      </c>
      <c r="H63" s="43" t="s">
        <v>94</v>
      </c>
    </row>
    <row r="64" spans="1:8" ht="24" customHeight="1">
      <c r="A64" s="23">
        <v>60</v>
      </c>
      <c r="B64" s="24" t="s">
        <v>74</v>
      </c>
      <c r="C64" s="41">
        <v>-96.9</v>
      </c>
      <c r="D64" s="23" t="s"/>
      <c r="E64" s="42" t="s">
        <v>226</v>
      </c>
      <c r="F64" s="42" t="s">
        <v>227</v>
      </c>
      <c r="G64" s="23" t="s">
        <v>131</v>
      </c>
      <c r="H64" s="43" t="s">
        <v>94</v>
      </c>
    </row>
    <row r="65" spans="1:8" ht="24" customHeight="1">
      <c r="A65" s="23">
        <v>61</v>
      </c>
      <c r="B65" s="24" t="s">
        <v>44</v>
      </c>
      <c r="C65" s="41">
        <v>-102.5</v>
      </c>
      <c r="D65" s="23" t="s"/>
      <c r="E65" s="42" t="s">
        <v>228</v>
      </c>
      <c r="F65" s="42" t="s">
        <v>229</v>
      </c>
      <c r="G65" s="23" t="s">
        <v>152</v>
      </c>
      <c r="H65" s="43" t="s">
        <v>94</v>
      </c>
    </row>
    <row r="66" spans="1:8" ht="24" customHeight="1">
      <c r="A66" s="23">
        <v>62</v>
      </c>
      <c r="B66" s="24" t="s">
        <v>73</v>
      </c>
      <c r="C66" s="41">
        <v>-118.3</v>
      </c>
      <c r="D66" s="23" t="s"/>
      <c r="E66" s="42" t="s">
        <v>230</v>
      </c>
      <c r="F66" s="42" t="s">
        <v>231</v>
      </c>
      <c r="G66" s="23" t="s">
        <v>131</v>
      </c>
      <c r="H66" s="43" t="s">
        <v>94</v>
      </c>
    </row>
    <row r="67" spans="1:8" ht="24" customHeight="1">
      <c r="A67" s="23">
        <v>63</v>
      </c>
      <c r="B67" s="24" t="s">
        <v>80</v>
      </c>
      <c r="C67" s="41">
        <v>-126.8</v>
      </c>
      <c r="D67" s="23" t="s"/>
      <c r="E67" s="42" t="s">
        <v>232</v>
      </c>
      <c r="F67" s="42" t="s">
        <v>233</v>
      </c>
      <c r="G67" s="23" t="s">
        <v>108</v>
      </c>
      <c r="H67" s="43" t="s">
        <v>94</v>
      </c>
    </row>
    <row r="68" spans="1:8" ht="24" customHeight="1">
      <c r="A68" s="30">
        <v>64</v>
      </c>
      <c r="B68" s="31" t="s">
        <v>72</v>
      </c>
      <c r="C68" s="44">
        <v>-160.7</v>
      </c>
      <c r="D68" s="30" t="s"/>
      <c r="E68" s="45" t="s">
        <v>234</v>
      </c>
      <c r="F68" s="45" t="s">
        <v>235</v>
      </c>
      <c r="G68" s="30" t="s">
        <v>155</v>
      </c>
      <c r="H68" s="46" t="s">
        <v>94</v>
      </c>
    </row>
  </sheetData>
  <mergeCells count="3">
    <mergeCell ref="A1:H1"/>
    <mergeCell ref="A2:H2"/>
    <mergeCell ref="A3:H3"/>
  </mergeCells>
  <conditionalFormatting sqref="C5:C68">
    <cfRule type="cellIs" dxfId="4" priority="1" operator="lessThan">
      <formula>0</formula>
    </cfRule>
  </conditionalFormatting>
  <pageMargins left="0.7" right="0.7" top="0.75" bottom="0.75" header="0.3" footer="0.3"/>
  <headerFooter/>
  <tableParts count="1">
    <tablePart r:id="rId0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H68"/>
  <sheetViews>
    <sheetView showGridLines="0" workbookViewId="0"/>
  </sheetViews>
  <sheetFormatPr defaultColWidth="9" defaultRowHeight="14" outlineLevelCol="7"/>
  <cols>
    <col min="1" max="1" width="8" customWidth="1"/>
    <col min="2" max="2" width="20" customWidth="1"/>
    <col min="3" max="3" width="12" customWidth="1"/>
    <col min="4" max="4" width="10" customWidth="1"/>
    <col min="5" max="5" width="26" customWidth="1"/>
    <col min="6" max="6" width="46" customWidth="1"/>
    <col min="7" max="7" width="10" customWidth="1"/>
    <col min="8" max="8" width="60" customWidth="1"/>
  </cols>
  <sheetData>
    <row r="1" spans="1:8" ht="32" customHeight="1">
      <c r="A1" s="4" t="s">
        <v>236</v>
      </c>
      <c r="B1" s="4" t="s">
        <v>236</v>
      </c>
      <c r="C1" s="4" t="s">
        <v>236</v>
      </c>
      <c r="D1" s="4" t="s">
        <v>236</v>
      </c>
      <c r="E1" s="4" t="s">
        <v>236</v>
      </c>
      <c r="F1" s="4" t="s">
        <v>236</v>
      </c>
      <c r="G1" s="4" t="s">
        <v>236</v>
      </c>
      <c r="H1" s="4" t="s">
        <v>236</v>
      </c>
    </row>
    <row r="2" spans="1:8">
      <c r="A2" s="5" t="s">
        <v>237</v>
      </c>
      <c r="B2" s="5" t="s"/>
      <c r="C2" s="5" t="s"/>
      <c r="D2" s="5" t="s"/>
      <c r="E2" s="5" t="s"/>
      <c r="F2" s="5" t="s"/>
      <c r="G2" s="5" t="s"/>
      <c r="H2" s="5" t="s"/>
    </row>
    <row r="3" spans="1:8">
      <c r="A3" s="37" t="s">
        <v>83</v>
      </c>
      <c r="B3" s="37" t="s"/>
      <c r="C3" s="37" t="s"/>
      <c r="D3" s="37" t="s"/>
      <c r="E3" s="37" t="s"/>
      <c r="F3" s="37" t="s"/>
      <c r="G3" s="37" t="s"/>
      <c r="H3" s="37" t="s"/>
    </row>
    <row r="4" spans="1:8" ht="26" customHeight="1">
      <c r="A4" s="13" t="s">
        <v>84</v>
      </c>
      <c r="B4" s="14" t="s">
        <v>10</v>
      </c>
      <c r="C4" s="14" t="s">
        <v>85</v>
      </c>
      <c r="D4" s="14" t="s">
        <v>86</v>
      </c>
      <c r="E4" s="14" t="s">
        <v>87</v>
      </c>
      <c r="F4" s="14" t="s">
        <v>88</v>
      </c>
      <c r="G4" s="14" t="s">
        <v>89</v>
      </c>
      <c r="H4" s="15" t="s">
        <v>90</v>
      </c>
    </row>
    <row r="5" spans="1:8" ht="24" customHeight="1">
      <c r="A5" s="16">
        <v>1</v>
      </c>
      <c r="B5" s="17" t="s">
        <v>18</v>
      </c>
      <c r="C5" s="38">
        <v>220.8</v>
      </c>
      <c r="D5" s="16" t="s"/>
      <c r="E5" s="39" t="s">
        <v>238</v>
      </c>
      <c r="F5" s="39" t="s">
        <v>239</v>
      </c>
      <c r="G5" s="16" t="s">
        <v>134</v>
      </c>
      <c r="H5" s="40" t="s">
        <v>240</v>
      </c>
    </row>
    <row r="6" spans="1:8" ht="15" customHeight="1">
      <c r="A6" s="23">
        <v>2</v>
      </c>
      <c r="B6" s="24" t="s">
        <v>20</v>
      </c>
      <c r="C6" s="41">
        <v>213.9</v>
      </c>
      <c r="D6" s="23" t="s"/>
      <c r="E6" s="42" t="s">
        <v>241</v>
      </c>
      <c r="F6" s="42" t="s">
        <v>242</v>
      </c>
      <c r="G6" s="23" t="s">
        <v>100</v>
      </c>
      <c r="H6" s="43" t="s">
        <v>240</v>
      </c>
    </row>
    <row r="7" spans="1:8" ht="15" customHeight="1">
      <c r="A7" s="23">
        <v>3</v>
      </c>
      <c r="B7" s="24" t="s">
        <v>7</v>
      </c>
      <c r="C7" s="41">
        <v>212.7</v>
      </c>
      <c r="D7" s="23" t="s"/>
      <c r="E7" s="42" t="s">
        <v>243</v>
      </c>
      <c r="F7" s="42" t="s">
        <v>244</v>
      </c>
      <c r="G7" s="23" t="s">
        <v>108</v>
      </c>
      <c r="H7" s="43" t="s">
        <v>240</v>
      </c>
    </row>
    <row r="8" spans="1:8" ht="15" customHeight="1">
      <c r="A8" s="23">
        <v>4</v>
      </c>
      <c r="B8" s="24" t="s">
        <v>19</v>
      </c>
      <c r="C8" s="41">
        <v>189.5</v>
      </c>
      <c r="D8" s="23" t="s"/>
      <c r="E8" s="42" t="s">
        <v>245</v>
      </c>
      <c r="F8" s="42" t="s">
        <v>246</v>
      </c>
      <c r="G8" s="23" t="s">
        <v>128</v>
      </c>
      <c r="H8" s="43" t="s">
        <v>240</v>
      </c>
    </row>
    <row r="9" spans="1:8" ht="15" customHeight="1">
      <c r="A9" s="23">
        <v>5</v>
      </c>
      <c r="B9" s="24" t="s">
        <v>32</v>
      </c>
      <c r="C9" s="41">
        <v>146.7</v>
      </c>
      <c r="D9" s="23" t="s"/>
      <c r="E9" s="42" t="s">
        <v>247</v>
      </c>
      <c r="F9" s="42" t="s">
        <v>248</v>
      </c>
      <c r="G9" s="23" t="s">
        <v>111</v>
      </c>
      <c r="H9" s="43" t="s">
        <v>240</v>
      </c>
    </row>
    <row r="10" spans="1:8" ht="24" customHeight="1">
      <c r="A10" s="23">
        <v>6</v>
      </c>
      <c r="B10" s="24" t="s">
        <v>21</v>
      </c>
      <c r="C10" s="41">
        <v>137.6</v>
      </c>
      <c r="D10" s="23" t="s"/>
      <c r="E10" s="42" t="s">
        <v>249</v>
      </c>
      <c r="F10" s="42" t="s">
        <v>250</v>
      </c>
      <c r="G10" s="23" t="s">
        <v>93</v>
      </c>
      <c r="H10" s="43" t="s">
        <v>240</v>
      </c>
    </row>
    <row r="11" spans="1:8" ht="15" customHeight="1">
      <c r="A11" s="23">
        <v>7</v>
      </c>
      <c r="B11" s="24" t="s">
        <v>23</v>
      </c>
      <c r="C11" s="41">
        <v>136.7</v>
      </c>
      <c r="D11" s="23" t="s"/>
      <c r="E11" s="42" t="s">
        <v>251</v>
      </c>
      <c r="F11" s="42" t="s">
        <v>252</v>
      </c>
      <c r="G11" s="23" t="s">
        <v>152</v>
      </c>
      <c r="H11" s="43" t="s">
        <v>240</v>
      </c>
    </row>
    <row r="12" spans="1:8" ht="24" customHeight="1">
      <c r="A12" s="23">
        <v>8</v>
      </c>
      <c r="B12" s="24" t="s">
        <v>29</v>
      </c>
      <c r="C12" s="41">
        <v>134.3</v>
      </c>
      <c r="D12" s="23" t="s"/>
      <c r="E12" s="42" t="s">
        <v>253</v>
      </c>
      <c r="F12" s="42" t="s">
        <v>254</v>
      </c>
      <c r="G12" s="23" t="s">
        <v>117</v>
      </c>
      <c r="H12" s="43" t="s">
        <v>240</v>
      </c>
    </row>
    <row r="13" spans="1:8" ht="15" customHeight="1">
      <c r="A13" s="23">
        <v>9</v>
      </c>
      <c r="B13" s="24" t="s">
        <v>30</v>
      </c>
      <c r="C13" s="41">
        <v>125.9</v>
      </c>
      <c r="D13" s="23" t="s"/>
      <c r="E13" s="42" t="s">
        <v>255</v>
      </c>
      <c r="F13" s="42" t="s">
        <v>256</v>
      </c>
      <c r="G13" s="23" t="s">
        <v>155</v>
      </c>
      <c r="H13" s="43" t="s">
        <v>240</v>
      </c>
    </row>
    <row r="14" spans="1:8" ht="24" customHeight="1">
      <c r="A14" s="23">
        <v>10</v>
      </c>
      <c r="B14" s="24" t="s">
        <v>28</v>
      </c>
      <c r="C14" s="41">
        <v>123.9</v>
      </c>
      <c r="D14" s="23" t="s"/>
      <c r="E14" s="42" t="s">
        <v>257</v>
      </c>
      <c r="F14" s="42" t="s">
        <v>258</v>
      </c>
      <c r="G14" s="23" t="s">
        <v>173</v>
      </c>
      <c r="H14" s="43" t="s">
        <v>240</v>
      </c>
    </row>
    <row r="15" spans="1:8" ht="15" customHeight="1">
      <c r="A15" s="23">
        <v>11</v>
      </c>
      <c r="B15" s="24" t="s">
        <v>44</v>
      </c>
      <c r="C15" s="41">
        <v>123.5</v>
      </c>
      <c r="D15" s="23" t="s"/>
      <c r="E15" s="42" t="s">
        <v>259</v>
      </c>
      <c r="F15" s="42" t="s">
        <v>260</v>
      </c>
      <c r="G15" s="23" t="s">
        <v>152</v>
      </c>
      <c r="H15" s="43" t="s">
        <v>240</v>
      </c>
    </row>
    <row r="16" spans="1:8" ht="24" customHeight="1">
      <c r="A16" s="23">
        <v>12</v>
      </c>
      <c r="B16" s="24" t="s">
        <v>25</v>
      </c>
      <c r="C16" s="41">
        <v>115.4</v>
      </c>
      <c r="D16" s="23" t="s"/>
      <c r="E16" s="42" t="s">
        <v>261</v>
      </c>
      <c r="F16" s="42" t="s">
        <v>262</v>
      </c>
      <c r="G16" s="23" t="s">
        <v>131</v>
      </c>
      <c r="H16" s="43" t="s">
        <v>240</v>
      </c>
    </row>
    <row r="17" spans="1:8" ht="15" customHeight="1">
      <c r="A17" s="23">
        <v>13</v>
      </c>
      <c r="B17" s="24" t="s">
        <v>35</v>
      </c>
      <c r="C17" s="41">
        <v>88.7</v>
      </c>
      <c r="D17" s="23" t="s"/>
      <c r="E17" s="42" t="s">
        <v>263</v>
      </c>
      <c r="F17" s="42" t="s">
        <v>264</v>
      </c>
      <c r="G17" s="23" t="s">
        <v>141</v>
      </c>
      <c r="H17" s="43" t="s">
        <v>240</v>
      </c>
    </row>
    <row r="18" spans="1:8" ht="15" customHeight="1">
      <c r="A18" s="23">
        <v>14</v>
      </c>
      <c r="B18" s="24" t="s">
        <v>42</v>
      </c>
      <c r="C18" s="41">
        <v>85.4</v>
      </c>
      <c r="D18" s="23" t="s"/>
      <c r="E18" s="42" t="s">
        <v>265</v>
      </c>
      <c r="F18" s="42" t="s">
        <v>266</v>
      </c>
      <c r="G18" s="23" t="s">
        <v>111</v>
      </c>
      <c r="H18" s="43" t="s">
        <v>240</v>
      </c>
    </row>
    <row r="19" spans="1:8" ht="15" customHeight="1">
      <c r="A19" s="23">
        <v>15</v>
      </c>
      <c r="B19" s="24" t="s">
        <v>37</v>
      </c>
      <c r="C19" s="41">
        <v>76.8</v>
      </c>
      <c r="D19" s="23" t="s"/>
      <c r="E19" s="42" t="s">
        <v>267</v>
      </c>
      <c r="F19" s="42" t="s">
        <v>268</v>
      </c>
      <c r="G19" s="23" t="s">
        <v>166</v>
      </c>
      <c r="H19" s="43" t="s">
        <v>240</v>
      </c>
    </row>
    <row r="20" spans="1:8" ht="24" customHeight="1">
      <c r="A20" s="23">
        <v>16</v>
      </c>
      <c r="B20" s="24" t="s">
        <v>26</v>
      </c>
      <c r="C20" s="41">
        <v>75</v>
      </c>
      <c r="D20" s="23" t="s"/>
      <c r="E20" s="42" t="s">
        <v>269</v>
      </c>
      <c r="F20" s="42" t="s">
        <v>270</v>
      </c>
      <c r="G20" s="23" t="s">
        <v>97</v>
      </c>
      <c r="H20" s="43" t="s">
        <v>240</v>
      </c>
    </row>
    <row r="21" spans="1:8" ht="15" customHeight="1">
      <c r="A21" s="23">
        <v>17</v>
      </c>
      <c r="B21" s="24" t="s">
        <v>22</v>
      </c>
      <c r="C21" s="41">
        <v>70.3</v>
      </c>
      <c r="D21" s="23" t="s"/>
      <c r="E21" s="42" t="s">
        <v>271</v>
      </c>
      <c r="F21" s="42" t="s">
        <v>272</v>
      </c>
      <c r="G21" s="23" t="s">
        <v>97</v>
      </c>
      <c r="H21" s="43" t="s">
        <v>240</v>
      </c>
    </row>
    <row r="22" spans="1:8" ht="24" customHeight="1">
      <c r="A22" s="23">
        <v>18</v>
      </c>
      <c r="B22" s="24" t="s">
        <v>46</v>
      </c>
      <c r="C22" s="41">
        <v>66.3</v>
      </c>
      <c r="D22" s="23" t="s"/>
      <c r="E22" s="42" t="s">
        <v>273</v>
      </c>
      <c r="F22" s="42" t="s">
        <v>274</v>
      </c>
      <c r="G22" s="23" t="s">
        <v>103</v>
      </c>
      <c r="H22" s="43" t="s">
        <v>240</v>
      </c>
    </row>
    <row r="23" spans="1:8" ht="15" customHeight="1">
      <c r="A23" s="23">
        <v>19</v>
      </c>
      <c r="B23" s="24" t="s">
        <v>36</v>
      </c>
      <c r="C23" s="41">
        <v>64.4</v>
      </c>
      <c r="D23" s="23" t="s"/>
      <c r="E23" s="42" t="s">
        <v>275</v>
      </c>
      <c r="F23" s="42" t="s">
        <v>276</v>
      </c>
      <c r="G23" s="23" t="s">
        <v>128</v>
      </c>
      <c r="H23" s="43" t="s">
        <v>240</v>
      </c>
    </row>
    <row r="24" spans="1:8" ht="24" customHeight="1">
      <c r="A24" s="23">
        <v>20</v>
      </c>
      <c r="B24" s="24" t="s">
        <v>27</v>
      </c>
      <c r="C24" s="41">
        <v>61.2</v>
      </c>
      <c r="D24" s="23" t="s"/>
      <c r="E24" s="42" t="s">
        <v>277</v>
      </c>
      <c r="F24" s="42" t="s">
        <v>278</v>
      </c>
      <c r="G24" s="23" t="s">
        <v>131</v>
      </c>
      <c r="H24" s="43" t="s">
        <v>240</v>
      </c>
    </row>
    <row r="25" spans="1:8" ht="15" customHeight="1">
      <c r="A25" s="23">
        <v>21</v>
      </c>
      <c r="B25" s="24" t="s">
        <v>41</v>
      </c>
      <c r="C25" s="41">
        <v>53.2</v>
      </c>
      <c r="D25" s="23" t="s"/>
      <c r="E25" s="42" t="s">
        <v>279</v>
      </c>
      <c r="F25" s="42" t="s">
        <v>280</v>
      </c>
      <c r="G25" s="23" t="s">
        <v>114</v>
      </c>
      <c r="H25" s="43" t="s">
        <v>240</v>
      </c>
    </row>
    <row r="26" spans="1:8" ht="15" customHeight="1">
      <c r="A26" s="23">
        <v>22</v>
      </c>
      <c r="B26" s="24" t="s">
        <v>45</v>
      </c>
      <c r="C26" s="41">
        <v>42.7</v>
      </c>
      <c r="D26" s="23" t="s"/>
      <c r="E26" s="42" t="s">
        <v>281</v>
      </c>
      <c r="F26" s="42" t="s">
        <v>282</v>
      </c>
      <c r="G26" s="23" t="s">
        <v>134</v>
      </c>
      <c r="H26" s="43" t="s">
        <v>240</v>
      </c>
    </row>
    <row r="27" spans="1:8" ht="15" customHeight="1">
      <c r="A27" s="23">
        <v>23</v>
      </c>
      <c r="B27" s="24" t="s">
        <v>31</v>
      </c>
      <c r="C27" s="41">
        <v>35.4</v>
      </c>
      <c r="D27" s="23" t="s"/>
      <c r="E27" s="42" t="s">
        <v>283</v>
      </c>
      <c r="F27" s="42" t="s">
        <v>284</v>
      </c>
      <c r="G27" s="23" t="s">
        <v>117</v>
      </c>
      <c r="H27" s="43" t="s">
        <v>240</v>
      </c>
    </row>
    <row r="28" spans="1:8" ht="15" customHeight="1">
      <c r="A28" s="23">
        <v>24</v>
      </c>
      <c r="B28" s="24" t="s">
        <v>24</v>
      </c>
      <c r="C28" s="41">
        <v>25.5</v>
      </c>
      <c r="D28" s="23" t="s"/>
      <c r="E28" s="42" t="s">
        <v>285</v>
      </c>
      <c r="F28" s="42" t="s">
        <v>286</v>
      </c>
      <c r="G28" s="23" t="s">
        <v>103</v>
      </c>
      <c r="H28" s="43" t="s">
        <v>240</v>
      </c>
    </row>
    <row r="29" spans="1:8" ht="24" customHeight="1">
      <c r="A29" s="23">
        <v>25</v>
      </c>
      <c r="B29" s="24" t="s">
        <v>56</v>
      </c>
      <c r="C29" s="41">
        <v>15.3</v>
      </c>
      <c r="D29" s="23" t="s"/>
      <c r="E29" s="42" t="s">
        <v>287</v>
      </c>
      <c r="F29" s="42" t="s">
        <v>288</v>
      </c>
      <c r="G29" s="23" t="s">
        <v>166</v>
      </c>
      <c r="H29" s="43" t="s">
        <v>240</v>
      </c>
    </row>
    <row r="30" spans="1:8" ht="15" customHeight="1">
      <c r="A30" s="23">
        <v>26</v>
      </c>
      <c r="B30" s="24" t="s">
        <v>49</v>
      </c>
      <c r="C30" s="41">
        <v>13.3</v>
      </c>
      <c r="D30" s="23" t="s"/>
      <c r="E30" s="42" t="s">
        <v>289</v>
      </c>
      <c r="F30" s="42" t="s">
        <v>290</v>
      </c>
      <c r="G30" s="23" t="s">
        <v>93</v>
      </c>
      <c r="H30" s="43" t="s">
        <v>240</v>
      </c>
    </row>
    <row r="31" spans="1:8" ht="15" customHeight="1">
      <c r="A31" s="23">
        <v>27</v>
      </c>
      <c r="B31" s="24" t="s">
        <v>48</v>
      </c>
      <c r="C31" s="41">
        <v>10.8</v>
      </c>
      <c r="D31" s="23" t="s"/>
      <c r="E31" s="42" t="s">
        <v>291</v>
      </c>
      <c r="F31" s="42" t="s">
        <v>292</v>
      </c>
      <c r="G31" s="23" t="s">
        <v>141</v>
      </c>
      <c r="H31" s="43" t="s">
        <v>240</v>
      </c>
    </row>
    <row r="32" spans="1:8" ht="15" customHeight="1">
      <c r="A32" s="23">
        <v>28</v>
      </c>
      <c r="B32" s="24" t="s">
        <v>34</v>
      </c>
      <c r="C32" s="41">
        <v>10.2</v>
      </c>
      <c r="D32" s="23" t="s"/>
      <c r="E32" s="42" t="s">
        <v>293</v>
      </c>
      <c r="F32" s="42" t="s">
        <v>294</v>
      </c>
      <c r="G32" s="23" t="s">
        <v>117</v>
      </c>
      <c r="H32" s="43" t="s">
        <v>240</v>
      </c>
    </row>
    <row r="33" spans="1:8" ht="15" customHeight="1">
      <c r="A33" s="23">
        <v>29</v>
      </c>
      <c r="B33" s="24" t="s">
        <v>72</v>
      </c>
      <c r="C33" s="41">
        <v>7.8</v>
      </c>
      <c r="D33" s="23" t="s"/>
      <c r="E33" s="42" t="s">
        <v>295</v>
      </c>
      <c r="F33" s="42" t="s">
        <v>296</v>
      </c>
      <c r="G33" s="23" t="s">
        <v>155</v>
      </c>
      <c r="H33" s="43" t="s">
        <v>240</v>
      </c>
    </row>
    <row r="34" spans="1:8" ht="15" customHeight="1">
      <c r="A34" s="23">
        <v>30</v>
      </c>
      <c r="B34" s="24" t="s">
        <v>33</v>
      </c>
      <c r="C34" s="41">
        <v>6.5</v>
      </c>
      <c r="D34" s="23" t="s"/>
      <c r="E34" s="42" t="s">
        <v>297</v>
      </c>
      <c r="F34" s="42" t="s">
        <v>298</v>
      </c>
      <c r="G34" s="23" t="s">
        <v>114</v>
      </c>
      <c r="H34" s="43" t="s">
        <v>240</v>
      </c>
    </row>
    <row r="35" spans="1:8" ht="15" customHeight="1">
      <c r="A35" s="23">
        <v>31</v>
      </c>
      <c r="B35" s="24" t="s">
        <v>50</v>
      </c>
      <c r="C35" s="41">
        <v>1.7</v>
      </c>
      <c r="D35" s="23" t="s"/>
      <c r="E35" s="42" t="s">
        <v>299</v>
      </c>
      <c r="F35" s="42" t="s">
        <v>300</v>
      </c>
      <c r="G35" s="23" t="s">
        <v>173</v>
      </c>
      <c r="H35" s="43" t="s">
        <v>240</v>
      </c>
    </row>
    <row r="36" spans="1:8" ht="15" customHeight="1">
      <c r="A36" s="23">
        <v>32</v>
      </c>
      <c r="B36" s="24" t="s">
        <v>64</v>
      </c>
      <c r="C36" s="41">
        <v>-0.3</v>
      </c>
      <c r="D36" s="23" t="s"/>
      <c r="E36" s="42" t="s">
        <v>301</v>
      </c>
      <c r="F36" s="42" t="s">
        <v>302</v>
      </c>
      <c r="G36" s="23" t="s">
        <v>173</v>
      </c>
      <c r="H36" s="43" t="s">
        <v>240</v>
      </c>
    </row>
    <row r="37" spans="1:8" ht="15" customHeight="1">
      <c r="A37" s="23">
        <v>33</v>
      </c>
      <c r="B37" s="24" t="s">
        <v>40</v>
      </c>
      <c r="C37" s="41">
        <v>-5</v>
      </c>
      <c r="D37" s="23" t="s"/>
      <c r="E37" s="42" t="s">
        <v>303</v>
      </c>
      <c r="F37" s="42" t="s">
        <v>304</v>
      </c>
      <c r="G37" s="23" t="s">
        <v>141</v>
      </c>
      <c r="H37" s="43" t="s">
        <v>240</v>
      </c>
    </row>
    <row r="38" spans="1:8" ht="15" customHeight="1">
      <c r="A38" s="23">
        <v>34</v>
      </c>
      <c r="B38" s="24" t="s">
        <v>47</v>
      </c>
      <c r="C38" s="41">
        <v>-5.4</v>
      </c>
      <c r="D38" s="23" t="s"/>
      <c r="E38" s="42" t="s">
        <v>305</v>
      </c>
      <c r="F38" s="42" t="s">
        <v>306</v>
      </c>
      <c r="G38" s="23" t="s">
        <v>155</v>
      </c>
      <c r="H38" s="43" t="s">
        <v>240</v>
      </c>
    </row>
    <row r="39" spans="1:8" ht="15" customHeight="1">
      <c r="A39" s="23">
        <v>35</v>
      </c>
      <c r="B39" s="24" t="s">
        <v>57</v>
      </c>
      <c r="C39" s="41">
        <v>-7.4</v>
      </c>
      <c r="D39" s="23" t="s"/>
      <c r="E39" s="42" t="s">
        <v>307</v>
      </c>
      <c r="F39" s="42" t="s">
        <v>308</v>
      </c>
      <c r="G39" s="23" t="s">
        <v>111</v>
      </c>
      <c r="H39" s="43" t="s">
        <v>240</v>
      </c>
    </row>
    <row r="40" spans="1:8" ht="15" customHeight="1">
      <c r="A40" s="23">
        <v>36</v>
      </c>
      <c r="B40" s="24" t="s">
        <v>66</v>
      </c>
      <c r="C40" s="41">
        <v>-10.9</v>
      </c>
      <c r="D40" s="23" t="s"/>
      <c r="E40" s="42" t="s">
        <v>309</v>
      </c>
      <c r="F40" s="42" t="s">
        <v>310</v>
      </c>
      <c r="G40" s="23" t="s">
        <v>166</v>
      </c>
      <c r="H40" s="43" t="s">
        <v>240</v>
      </c>
    </row>
    <row r="41" spans="1:8" ht="24" customHeight="1">
      <c r="A41" s="23">
        <v>37</v>
      </c>
      <c r="B41" s="24" t="s">
        <v>67</v>
      </c>
      <c r="C41" s="41">
        <v>-15.3</v>
      </c>
      <c r="D41" s="23" t="s"/>
      <c r="E41" s="42" t="s">
        <v>311</v>
      </c>
      <c r="F41" s="42" t="s">
        <v>312</v>
      </c>
      <c r="G41" s="23" t="s">
        <v>141</v>
      </c>
      <c r="H41" s="43" t="s">
        <v>240</v>
      </c>
    </row>
    <row r="42" spans="1:8" ht="24" customHeight="1">
      <c r="A42" s="23">
        <v>38</v>
      </c>
      <c r="B42" s="24" t="s">
        <v>39</v>
      </c>
      <c r="C42" s="41">
        <v>-22.7</v>
      </c>
      <c r="D42" s="23" t="s"/>
      <c r="E42" s="42" t="s">
        <v>313</v>
      </c>
      <c r="F42" s="42" t="s">
        <v>314</v>
      </c>
      <c r="G42" s="23" t="s">
        <v>100</v>
      </c>
      <c r="H42" s="43" t="s">
        <v>240</v>
      </c>
    </row>
    <row r="43" spans="1:8" ht="15" customHeight="1">
      <c r="A43" s="23">
        <v>39</v>
      </c>
      <c r="B43" s="24" t="s">
        <v>63</v>
      </c>
      <c r="C43" s="41">
        <v>-24.3</v>
      </c>
      <c r="D43" s="23" t="s"/>
      <c r="E43" s="42" t="s">
        <v>315</v>
      </c>
      <c r="F43" s="42" t="s">
        <v>316</v>
      </c>
      <c r="G43" s="23" t="s">
        <v>103</v>
      </c>
      <c r="H43" s="43" t="s">
        <v>240</v>
      </c>
    </row>
    <row r="44" spans="1:8" ht="24" customHeight="1">
      <c r="A44" s="23">
        <v>40</v>
      </c>
      <c r="B44" s="24" t="s">
        <v>54</v>
      </c>
      <c r="C44" s="41">
        <v>-31.7</v>
      </c>
      <c r="D44" s="23" t="s"/>
      <c r="E44" s="42" t="s">
        <v>317</v>
      </c>
      <c r="F44" s="42" t="s">
        <v>318</v>
      </c>
      <c r="G44" s="23" t="s">
        <v>97</v>
      </c>
      <c r="H44" s="43" t="s">
        <v>240</v>
      </c>
    </row>
    <row r="45" spans="1:8" ht="15" customHeight="1">
      <c r="A45" s="23">
        <v>41</v>
      </c>
      <c r="B45" s="24" t="s">
        <v>38</v>
      </c>
      <c r="C45" s="41">
        <v>-43.1</v>
      </c>
      <c r="D45" s="23" t="s"/>
      <c r="E45" s="42" t="s">
        <v>319</v>
      </c>
      <c r="F45" s="42" t="s">
        <v>320</v>
      </c>
      <c r="G45" s="23" t="s">
        <v>100</v>
      </c>
      <c r="H45" s="43" t="s">
        <v>240</v>
      </c>
    </row>
    <row r="46" spans="1:8" ht="15" customHeight="1">
      <c r="A46" s="23">
        <v>42</v>
      </c>
      <c r="B46" s="24" t="s">
        <v>73</v>
      </c>
      <c r="C46" s="41">
        <v>-45.3</v>
      </c>
      <c r="D46" s="23" t="s"/>
      <c r="E46" s="42" t="s">
        <v>321</v>
      </c>
      <c r="F46" s="42" t="s">
        <v>322</v>
      </c>
      <c r="G46" s="23" t="s">
        <v>131</v>
      </c>
      <c r="H46" s="43" t="s">
        <v>240</v>
      </c>
    </row>
    <row r="47" spans="1:8" ht="15" customHeight="1">
      <c r="A47" s="23">
        <v>43</v>
      </c>
      <c r="B47" s="24" t="s">
        <v>52</v>
      </c>
      <c r="C47" s="41">
        <v>-53.8</v>
      </c>
      <c r="D47" s="23" t="s"/>
      <c r="E47" s="42" t="s">
        <v>323</v>
      </c>
      <c r="F47" s="42" t="s">
        <v>324</v>
      </c>
      <c r="G47" s="23" t="s">
        <v>97</v>
      </c>
      <c r="H47" s="43" t="s">
        <v>240</v>
      </c>
    </row>
    <row r="48" spans="1:8" ht="15" customHeight="1">
      <c r="A48" s="23">
        <v>44</v>
      </c>
      <c r="B48" s="24" t="s">
        <v>62</v>
      </c>
      <c r="C48" s="41">
        <v>-62.8</v>
      </c>
      <c r="D48" s="23" t="s"/>
      <c r="E48" s="42" t="s">
        <v>325</v>
      </c>
      <c r="F48" s="42" t="s">
        <v>326</v>
      </c>
      <c r="G48" s="23" t="s">
        <v>173</v>
      </c>
      <c r="H48" s="43" t="s">
        <v>240</v>
      </c>
    </row>
    <row r="49" spans="1:8" ht="24" customHeight="1">
      <c r="A49" s="23">
        <v>45</v>
      </c>
      <c r="B49" s="24" t="s">
        <v>74</v>
      </c>
      <c r="C49" s="41">
        <v>-67.9</v>
      </c>
      <c r="D49" s="23" t="s"/>
      <c r="E49" s="42" t="s">
        <v>327</v>
      </c>
      <c r="F49" s="42" t="s">
        <v>328</v>
      </c>
      <c r="G49" s="23" t="s">
        <v>131</v>
      </c>
      <c r="H49" s="43" t="s">
        <v>240</v>
      </c>
    </row>
    <row r="50" spans="1:8" ht="15" customHeight="1">
      <c r="A50" s="23">
        <v>46</v>
      </c>
      <c r="B50" s="24" t="s">
        <v>59</v>
      </c>
      <c r="C50" s="41">
        <v>-79.9</v>
      </c>
      <c r="D50" s="23" t="s"/>
      <c r="E50" s="42" t="s">
        <v>329</v>
      </c>
      <c r="F50" s="42" t="s">
        <v>330</v>
      </c>
      <c r="G50" s="23" t="s">
        <v>166</v>
      </c>
      <c r="H50" s="43" t="s">
        <v>240</v>
      </c>
    </row>
    <row r="51" spans="1:8" ht="24" customHeight="1">
      <c r="A51" s="23">
        <v>47</v>
      </c>
      <c r="B51" s="24" t="s">
        <v>51</v>
      </c>
      <c r="C51" s="41">
        <v>-86.6</v>
      </c>
      <c r="D51" s="23" t="s"/>
      <c r="E51" s="42" t="s">
        <v>331</v>
      </c>
      <c r="F51" s="42" t="s">
        <v>332</v>
      </c>
      <c r="G51" s="23" t="s">
        <v>100</v>
      </c>
      <c r="H51" s="43" t="s">
        <v>240</v>
      </c>
    </row>
    <row r="52" spans="1:8" ht="15" customHeight="1">
      <c r="A52" s="23">
        <v>48</v>
      </c>
      <c r="B52" s="24" t="s">
        <v>61</v>
      </c>
      <c r="C52" s="41">
        <v>-91.2</v>
      </c>
      <c r="D52" s="23" t="s"/>
      <c r="E52" s="42" t="s">
        <v>333</v>
      </c>
      <c r="F52" s="42" t="s">
        <v>334</v>
      </c>
      <c r="G52" s="23" t="s">
        <v>152</v>
      </c>
      <c r="H52" s="43" t="s">
        <v>240</v>
      </c>
    </row>
    <row r="53" spans="1:8" ht="15" customHeight="1">
      <c r="A53" s="23">
        <v>49</v>
      </c>
      <c r="B53" s="24" t="s">
        <v>58</v>
      </c>
      <c r="C53" s="41">
        <v>-96.7</v>
      </c>
      <c r="D53" s="23" t="s"/>
      <c r="E53" s="42" t="s">
        <v>335</v>
      </c>
      <c r="F53" s="42" t="s">
        <v>336</v>
      </c>
      <c r="G53" s="23" t="s">
        <v>128</v>
      </c>
      <c r="H53" s="43" t="s">
        <v>240</v>
      </c>
    </row>
    <row r="54" spans="1:8" ht="15" customHeight="1">
      <c r="A54" s="23">
        <v>50</v>
      </c>
      <c r="B54" s="24" t="s">
        <v>70</v>
      </c>
      <c r="C54" s="41">
        <v>-102.6</v>
      </c>
      <c r="D54" s="23" t="s"/>
      <c r="E54" s="42" t="s">
        <v>337</v>
      </c>
      <c r="F54" s="42" t="s">
        <v>338</v>
      </c>
      <c r="G54" s="23" t="s">
        <v>93</v>
      </c>
      <c r="H54" s="43" t="s">
        <v>240</v>
      </c>
    </row>
    <row r="55" spans="1:8" ht="15" customHeight="1">
      <c r="A55" s="23">
        <v>51</v>
      </c>
      <c r="B55" s="24" t="s">
        <v>75</v>
      </c>
      <c r="C55" s="41">
        <v>-102.6</v>
      </c>
      <c r="D55" s="23" t="s"/>
      <c r="E55" s="42" t="s">
        <v>339</v>
      </c>
      <c r="F55" s="42" t="s">
        <v>340</v>
      </c>
      <c r="G55" s="23" t="s">
        <v>103</v>
      </c>
      <c r="H55" s="43" t="s">
        <v>240</v>
      </c>
    </row>
    <row r="56" spans="1:8" ht="15" customHeight="1">
      <c r="A56" s="23">
        <v>52</v>
      </c>
      <c r="B56" s="24" t="s">
        <v>69</v>
      </c>
      <c r="C56" s="41">
        <v>-104.2</v>
      </c>
      <c r="D56" s="23" t="s"/>
      <c r="E56" s="42" t="s">
        <v>341</v>
      </c>
      <c r="F56" s="42" t="s">
        <v>342</v>
      </c>
      <c r="G56" s="23" t="s">
        <v>114</v>
      </c>
      <c r="H56" s="43" t="s">
        <v>240</v>
      </c>
    </row>
    <row r="57" spans="1:8" ht="15" customHeight="1">
      <c r="A57" s="23">
        <v>53</v>
      </c>
      <c r="B57" s="24" t="s">
        <v>55</v>
      </c>
      <c r="C57" s="41">
        <v>-111</v>
      </c>
      <c r="D57" s="23" t="s"/>
      <c r="E57" s="42" t="s">
        <v>343</v>
      </c>
      <c r="F57" s="42" t="s">
        <v>344</v>
      </c>
      <c r="G57" s="23" t="s">
        <v>108</v>
      </c>
      <c r="H57" s="43" t="s">
        <v>240</v>
      </c>
    </row>
    <row r="58" spans="1:8" ht="24" customHeight="1">
      <c r="A58" s="23">
        <v>54</v>
      </c>
      <c r="B58" s="24" t="s">
        <v>80</v>
      </c>
      <c r="C58" s="41">
        <v>-113.3</v>
      </c>
      <c r="D58" s="23" t="s"/>
      <c r="E58" s="42" t="s">
        <v>345</v>
      </c>
      <c r="F58" s="42" t="s">
        <v>346</v>
      </c>
      <c r="G58" s="23" t="s">
        <v>108</v>
      </c>
      <c r="H58" s="43" t="s">
        <v>240</v>
      </c>
    </row>
    <row r="59" spans="1:8" ht="24" customHeight="1">
      <c r="A59" s="23">
        <v>55</v>
      </c>
      <c r="B59" s="24" t="s">
        <v>60</v>
      </c>
      <c r="C59" s="41">
        <v>-115.6</v>
      </c>
      <c r="D59" s="23" t="s"/>
      <c r="E59" s="42" t="s">
        <v>347</v>
      </c>
      <c r="F59" s="42" t="s">
        <v>348</v>
      </c>
      <c r="G59" s="23" t="s">
        <v>134</v>
      </c>
      <c r="H59" s="43" t="s">
        <v>240</v>
      </c>
    </row>
    <row r="60" spans="1:8" ht="15" customHeight="1">
      <c r="A60" s="23">
        <v>56</v>
      </c>
      <c r="B60" s="24" t="s">
        <v>53</v>
      </c>
      <c r="C60" s="41">
        <v>-119</v>
      </c>
      <c r="D60" s="23" t="s"/>
      <c r="E60" s="42" t="s">
        <v>349</v>
      </c>
      <c r="F60" s="42" t="s">
        <v>350</v>
      </c>
      <c r="G60" s="23" t="s">
        <v>111</v>
      </c>
      <c r="H60" s="43" t="s">
        <v>240</v>
      </c>
    </row>
    <row r="61" spans="1:8" ht="15" customHeight="1">
      <c r="A61" s="23">
        <v>57</v>
      </c>
      <c r="B61" s="24" t="s">
        <v>71</v>
      </c>
      <c r="C61" s="41">
        <v>-119</v>
      </c>
      <c r="D61" s="23" t="s"/>
      <c r="E61" s="42" t="s">
        <v>351</v>
      </c>
      <c r="F61" s="42" t="s">
        <v>352</v>
      </c>
      <c r="G61" s="23" t="s">
        <v>114</v>
      </c>
      <c r="H61" s="43" t="s">
        <v>240</v>
      </c>
    </row>
    <row r="62" spans="1:8" ht="15" customHeight="1">
      <c r="A62" s="23">
        <v>58</v>
      </c>
      <c r="B62" s="24" t="s">
        <v>43</v>
      </c>
      <c r="C62" s="41">
        <v>-128.3</v>
      </c>
      <c r="D62" s="23" t="s"/>
      <c r="E62" s="42" t="s">
        <v>353</v>
      </c>
      <c r="F62" s="42" t="s">
        <v>354</v>
      </c>
      <c r="G62" s="23" t="s">
        <v>93</v>
      </c>
      <c r="H62" s="43" t="s">
        <v>240</v>
      </c>
    </row>
    <row r="63" spans="1:8" ht="15" customHeight="1">
      <c r="A63" s="23">
        <v>59</v>
      </c>
      <c r="B63" s="24" t="s">
        <v>68</v>
      </c>
      <c r="C63" s="41">
        <v>-135.8</v>
      </c>
      <c r="D63" s="23" t="s"/>
      <c r="E63" s="42" t="s">
        <v>355</v>
      </c>
      <c r="F63" s="42" t="s">
        <v>356</v>
      </c>
      <c r="G63" s="23" t="s">
        <v>155</v>
      </c>
      <c r="H63" s="43" t="s">
        <v>240</v>
      </c>
    </row>
    <row r="64" spans="1:8" ht="15" customHeight="1">
      <c r="A64" s="23">
        <v>60</v>
      </c>
      <c r="B64" s="24" t="s">
        <v>65</v>
      </c>
      <c r="C64" s="41">
        <v>-137.8</v>
      </c>
      <c r="D64" s="23" t="s"/>
      <c r="E64" s="42" t="s">
        <v>357</v>
      </c>
      <c r="F64" s="42" t="s">
        <v>358</v>
      </c>
      <c r="G64" s="23" t="s">
        <v>108</v>
      </c>
      <c r="H64" s="43" t="s">
        <v>240</v>
      </c>
    </row>
    <row r="65" spans="1:8" ht="15" customHeight="1">
      <c r="A65" s="23">
        <v>61</v>
      </c>
      <c r="B65" s="24" t="s">
        <v>78</v>
      </c>
      <c r="C65" s="41">
        <v>-146.2</v>
      </c>
      <c r="D65" s="23" t="s"/>
      <c r="E65" s="42" t="s">
        <v>359</v>
      </c>
      <c r="F65" s="42" t="s">
        <v>360</v>
      </c>
      <c r="G65" s="23" t="s">
        <v>128</v>
      </c>
      <c r="H65" s="43" t="s">
        <v>240</v>
      </c>
    </row>
    <row r="66" spans="1:8" ht="15" customHeight="1">
      <c r="A66" s="23">
        <v>62</v>
      </c>
      <c r="B66" s="24" t="s">
        <v>79</v>
      </c>
      <c r="C66" s="41">
        <v>-146.7</v>
      </c>
      <c r="D66" s="23" t="s"/>
      <c r="E66" s="42" t="s">
        <v>361</v>
      </c>
      <c r="F66" s="42" t="s">
        <v>362</v>
      </c>
      <c r="G66" s="23" t="s">
        <v>134</v>
      </c>
      <c r="H66" s="43" t="s">
        <v>240</v>
      </c>
    </row>
    <row r="67" spans="1:8" ht="15" customHeight="1">
      <c r="A67" s="23">
        <v>63</v>
      </c>
      <c r="B67" s="24" t="s">
        <v>76</v>
      </c>
      <c r="C67" s="41">
        <v>-160.7</v>
      </c>
      <c r="D67" s="23" t="s"/>
      <c r="E67" s="42" t="s">
        <v>363</v>
      </c>
      <c r="F67" s="42" t="s">
        <v>364</v>
      </c>
      <c r="G67" s="23" t="s">
        <v>117</v>
      </c>
      <c r="H67" s="43" t="s">
        <v>240</v>
      </c>
    </row>
    <row r="68" spans="1:8" ht="15" customHeight="1">
      <c r="A68" s="30">
        <v>64</v>
      </c>
      <c r="B68" s="31" t="s">
        <v>77</v>
      </c>
      <c r="C68" s="44">
        <v>-198.3</v>
      </c>
      <c r="D68" s="30" t="s"/>
      <c r="E68" s="45" t="s">
        <v>365</v>
      </c>
      <c r="F68" s="45" t="s">
        <v>366</v>
      </c>
      <c r="G68" s="30" t="s">
        <v>152</v>
      </c>
      <c r="H68" s="46" t="s">
        <v>240</v>
      </c>
    </row>
  </sheetData>
  <mergeCells count="3">
    <mergeCell ref="A1:H1"/>
    <mergeCell ref="A2:H2"/>
    <mergeCell ref="A3:H3"/>
  </mergeCells>
  <conditionalFormatting sqref="C5:C68">
    <cfRule type="cellIs" dxfId="4" priority="1" operator="lessThan">
      <formula>0</formula>
    </cfRule>
  </conditionalFormatting>
  <pageMargins left="0.7" right="0.7" top="0.75" bottom="0.75" header="0.3" footer="0.3"/>
  <headerFooter/>
  <tableParts count="1">
    <tablePart r:id="rId0"/>
  </tableParts>
</worksheet>
</file>

<file path=xl/worksheets/sheet4.xml><?xml version="1.0" encoding="utf-8"?>
<worksheet xmlns="http://schemas.openxmlformats.org/spreadsheetml/2006/main">
  <sheetPr/>
  <dimension ref="F12"/>
  <sheetViews>
    <sheetView showGridLines="0" workbookViewId="0"/>
  </sheetViews>
  <sheetFormatPr defaultColWidth="9" defaultRowHeight="14" outlineLevelCol="5"/>
  <cols>
    <col min="1" max="1" width="18" customWidth="1"/>
    <col min="2" max="2" width="24" customWidth="1"/>
    <col min="3" max="6" width="18" customWidth="1"/>
  </cols>
  <sheetData>
    <row r="1" spans="1:6" ht="32" customHeight="1">
      <c r="A1" s="4" t="s">
        <v>367</v>
      </c>
      <c r="B1" s="4" t="s">
        <v>367</v>
      </c>
      <c r="C1" s="4" t="s">
        <v>367</v>
      </c>
      <c r="D1" s="4" t="s">
        <v>367</v>
      </c>
      <c r="E1" s="4" t="s">
        <v>367</v>
      </c>
      <c r="F1" s="4" t="s">
        <v>367</v>
      </c>
    </row>
    <row r="3" spans="1:6" ht="30" customHeight="1">
      <c r="A3" s="13" t="s">
        <v>368</v>
      </c>
      <c r="B3" s="14" t="s">
        <v>369</v>
      </c>
      <c r="C3" s="14" t="s"/>
      <c r="D3" s="14" t="s"/>
      <c r="E3" s="14" t="s"/>
      <c r="F3" s="15" t="s"/>
    </row>
    <row r="4" spans="1:6" ht="30" customHeight="1">
      <c r="A4" s="47" t="s">
        <v>370</v>
      </c>
      <c r="B4" s="48" t="s">
        <v>94</v>
      </c>
      <c r="C4" s="49" t="s"/>
      <c r="D4" s="49" t="s"/>
      <c r="E4" s="49" t="s"/>
      <c r="F4" s="50" t="s"/>
    </row>
    <row r="5" spans="1:6" ht="30" customHeight="1">
      <c r="A5" s="51" t="s">
        <v>371</v>
      </c>
      <c r="B5" s="52" t="s">
        <v>240</v>
      </c>
      <c r="C5" s="53" t="s"/>
      <c r="D5" s="53" t="s"/>
      <c r="E5" s="53" t="s"/>
      <c r="F5" s="54" t="s"/>
    </row>
    <row r="6" spans="1:6" ht="30" customHeight="1">
      <c r="A6" s="51" t="s">
        <v>372</v>
      </c>
      <c r="B6" s="55" t="s">
        <v>373</v>
      </c>
      <c r="C6" s="56" t="s"/>
      <c r="D6" s="56" t="s"/>
      <c r="E6" s="56" t="s"/>
      <c r="F6" s="57" t="s"/>
    </row>
    <row r="7" spans="1:6" ht="42" customHeight="1">
      <c r="A7" s="51" t="s">
        <v>374</v>
      </c>
      <c r="B7" s="55" t="s">
        <v>375</v>
      </c>
      <c r="C7" s="56" t="s"/>
      <c r="D7" s="56" t="s"/>
      <c r="E7" s="56" t="s"/>
      <c r="F7" s="57" t="s"/>
    </row>
    <row r="8" spans="1:6" ht="42" customHeight="1">
      <c r="A8" s="51" t="s">
        <v>376</v>
      </c>
      <c r="B8" s="55" t="s">
        <v>377</v>
      </c>
      <c r="C8" s="56" t="s"/>
      <c r="D8" s="56" t="s"/>
      <c r="E8" s="56" t="s"/>
      <c r="F8" s="57" t="s"/>
    </row>
    <row r="9" spans="1:6" ht="42" customHeight="1">
      <c r="A9" s="51" t="s">
        <v>15</v>
      </c>
      <c r="B9" s="55" t="s">
        <v>378</v>
      </c>
      <c r="C9" s="56" t="s"/>
      <c r="D9" s="56" t="s"/>
      <c r="E9" s="56" t="s"/>
      <c r="F9" s="57" t="s"/>
    </row>
    <row r="10" spans="1:6" ht="42" customHeight="1">
      <c r="A10" s="51" t="s">
        <v>379</v>
      </c>
      <c r="B10" s="55" t="s">
        <v>380</v>
      </c>
      <c r="C10" s="56" t="s"/>
      <c r="D10" s="56" t="s"/>
      <c r="E10" s="56" t="s"/>
      <c r="F10" s="57" t="s"/>
    </row>
    <row r="11" spans="1:6" ht="42" customHeight="1">
      <c r="A11" s="51" t="s">
        <v>9</v>
      </c>
      <c r="B11" s="55" t="s">
        <v>381</v>
      </c>
      <c r="C11" s="56" t="s"/>
      <c r="D11" s="56" t="s"/>
      <c r="E11" s="56" t="s"/>
      <c r="F11" s="57" t="s"/>
    </row>
    <row r="12" spans="1:6" ht="30" customHeight="1">
      <c r="A12" s="58" t="s">
        <v>382</v>
      </c>
      <c r="B12" s="59" t="s">
        <v>383</v>
      </c>
      <c r="C12" s="60" t="s"/>
      <c r="D12" s="60" t="s"/>
      <c r="E12" s="60" t="s"/>
      <c r="F12" s="61" t="s"/>
    </row>
  </sheetData>
  <mergeCells count="11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2026-07-15T23:31:53Z</dcterms:created>
  <dcterms:modified xsi:type="dcterms:W3CDTF">2026-07-15T23:31:53Z</dcterms:modified>
</cp:coreProperties>
</file>